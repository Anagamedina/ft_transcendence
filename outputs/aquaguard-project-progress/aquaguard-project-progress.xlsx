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43103e477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79be2dd1b7844f3"/>
    <x:sheet xmlns:r="http://schemas.openxmlformats.org/officeDocument/2006/relationships" name="Tasks" sheetId="2" r:id="R0aaeedb96b234028"/>
    <x:sheet xmlns:r="http://schemas.openxmlformats.org/officeDocument/2006/relationships" name="Evidence" sheetId="3" r:id="Rf5a1e9cf64264602"/>
    <x:sheet xmlns:r="http://schemas.openxmlformats.org/officeDocument/2006/relationships" name="Roadmap" sheetId="4" r:id="R2a50a6a48e8e4b71"/>
    <x:sheet xmlns:r="http://schemas.openxmlformats.org/officeDocument/2006/relationships" name="GitHub" sheetId="5" r:id="R3a5f44ecb48c45d6"/>
    <x:sheet xmlns:r="http://schemas.openxmlformats.org/officeDocument/2006/relationships" name="Blockers" sheetId="6" r:id="Rf58c9cbe54614df4"/>
    <x:sheet xmlns:r="http://schemas.openxmlformats.org/officeDocument/2006/relationships" name="Mandatory" sheetId="7" r:id="R758d6b8b826f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sz val="10"/>
      <x:color rgb="FF243B53"/>
      <x:name val="Arial"/>
    </x:font>
    <x:font>
      <x:b/>
      <x:sz val="16"/>
      <x:color rgb="FFFFFFFF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0"/>
      <x:color rgb="FF8A5A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67D89"/>
      </x:patternFill>
    </x:fill>
    <x:fill>
      <x:patternFill patternType="solid">
        <x:fgColor rgb="FF9A3412"/>
      </x:patternFill>
    </x:fill>
    <x:fill>
      <x:patternFill patternType="solid">
        <x:fgColor rgb="FF7C3AED"/>
      </x:patternFill>
    </x:fill>
  </x:fills>
  <x:borders count="9">
    <x:border/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D9E2EC"/>
      </x:top>
    </x:border>
    <x:border>
      <x:bottom style="thin">
        <x:color rgb="FFD9E2EC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ill>
        <x:patternFill patternType="solid">
          <x:bgColor rgb="FFE4F3E8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4F3E8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55f37c7724a49" /><Relationship Type="http://schemas.openxmlformats.org/officeDocument/2006/relationships/theme" Target="/xl/theme/theme1.xml" Id="Rda3cfee2457a42b5" /><Relationship Type="http://schemas.openxmlformats.org/officeDocument/2006/relationships/sharedStrings" Target="/xl/sharedStrings.xml" Id="Re976a8acd25b42ec" /><Relationship Type="http://schemas.openxmlformats.org/officeDocument/2006/relationships/worksheet" Target="/xl/worksheets/sheet1.xml" Id="R079be2dd1b7844f3" /><Relationship Type="http://schemas.openxmlformats.org/officeDocument/2006/relationships/worksheet" Target="/xl/worksheets/sheet2.xml" Id="R0aaeedb96b234028" /><Relationship Type="http://schemas.openxmlformats.org/officeDocument/2006/relationships/worksheet" Target="/xl/worksheets/sheet3.xml" Id="Rf5a1e9cf64264602" /><Relationship Type="http://schemas.openxmlformats.org/officeDocument/2006/relationships/worksheet" Target="/xl/worksheets/sheet4.xml" Id="R2a50a6a48e8e4b71" /><Relationship Type="http://schemas.openxmlformats.org/officeDocument/2006/relationships/worksheet" Target="/xl/worksheets/sheet5.xml" Id="R3a5f44ecb48c45d6" /><Relationship Type="http://schemas.openxmlformats.org/officeDocument/2006/relationships/worksheet" Target="/xl/worksheets/sheet6.xml" Id="Rf58c9cbe54614df4" /><Relationship Type="http://schemas.openxmlformats.org/officeDocument/2006/relationships/worksheet" Target="/xl/worksheets/sheet7.xml" Id="R758d6b8b826f41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617ddb4e2a4a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Progreso por área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Progreso</c:v>
          </c:tx>
          <c:cat>
            <c:strRef>
              <c:f>'Overview'!$A$11:$A$15</c:f>
              <c:strCache>
                <c:ptCount val="0"/>
              </c:strCache>
            </c:strRef>
          </c:cat>
          <c:val>
            <c:numRef>
              <c:f>'Overview'!$G$11:$G$15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617ddb4e2a4a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sTable" displayName="TasksTable" ref="A1:J48" headerRowCount="1" totalsRowCount="0" totalsRowShown="0">
  <x:tableColumns count="10">
    <x:tableColumn id="1" name="ID"/>
    <x:tableColumn id="2" name="Área"/>
    <x:tableColumn id="3" name="Tarea"/>
    <x:tableColumn id="4" name="Estado"/>
    <x:tableColumn id="5" name="Progreso"/>
    <x:tableColumn id="6" name="Peso"/>
    <x:tableColumn id="7" name="Evidencia"/>
    <x:tableColumn id="8" name="Situación actual"/>
    <x:tableColumn id="9" name="Siguiente paso"/>
    <x:tableColumn id="10" name="Avance ponder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1:D11" headerRowCount="1" totalsRowCount="0" totalsRowShown="0">
  <x:tableColumns count="4">
    <x:tableColumn id="1" name="Control"/>
    <x:tableColumn id="2" name="Método/evidencia"/>
    <x:tableColumn id="3" name="Resultado"/>
    <x:tableColumn id="4" name="Clasific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admapTable" displayName="RoadmapTable" ref="A1:G15" headerRowCount="1" totalsRowCount="0" totalsRowShown="0">
  <x:tableColumns count="7">
    <x:tableColumn id="1" name="Prioridad"/>
    <x:tableColumn id="2" name="Área"/>
    <x:tableColumn id="3" name="Tarea futura"/>
    <x:tableColumn id="4" name="Por qué falta"/>
    <x:tableColumn id="5" name="Criterio de aceptación"/>
    <x:tableColumn id="6" name="Dependencias"/>
    <x:tableColumn id="7" name="Responsable sugeri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itHubTable" displayName="GitHubTable" ref="A1:F43" headerRowCount="1" totalsRowCount="0" totalsRowShown="0">
  <x:tableColumns count="6">
    <x:tableColumn id="1" name="Issue"/>
    <x:tableColumn id="2" name="Estado GitHub"/>
    <x:tableColumn id="3" name="Tarea en GitHub"/>
    <x:tableColumn id="4" name="Coincidencia local"/>
    <x:tableColumn id="5" name="Lectura para el equipo"/>
    <x:tableColumn id="6" name="Enla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lockersTable" displayName="BlockersTable" ref="A1:D10" headerRowCount="1" totalsRowCount="0" totalsRowShown="0">
  <x:tableColumns count="4">
    <x:tableColumn id="1" name="Tarea afectada"/>
    <x:tableColumn id="2" name="Depende de"/>
    <x:tableColumn id="3" name="Estado del bloqueo"/>
    <x:tableColumn id="4" name="Por qué está bloquead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datoryTable" displayName="MandatoryTable" ref="A1:G9" headerRowCount="1" totalsRowCount="0" totalsRowShown="0">
  <x:tableColumns count="7">
    <x:tableColumn id="1" name="ID"/>
    <x:tableColumn id="2" name="Área"/>
    <x:tableColumn id="3" name="Tarea faltante"/>
    <x:tableColumn id="4" name="Tipo"/>
    <x:tableColumn id="5" name="Criterio de aceptación"/>
    <x:tableColumn id="6" name="GitHub relacionado"/>
    <x:tableColumn id="7" name="Prior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9d589f45cd46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bd5ad7b66b40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0ce5624abb48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61b343d98143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c338b3960e4b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de4fefa80244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568aae4224437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14" hidden="0" customWidth="1"/>
    <x:col min="8" max="8" width="4" hidden="0" customWidth="1"/>
  </x:cols>
  <x:sheetData>
    <x:row r="1" ht="30" customHeight="1">
      <x:c r="A1" s="5" t="str">
        <x:v>AquaGuard — análisis de avance del proyecto</x:v>
      </x:c>
      <x:c r="B1" s="5"/>
      <x:c r="C1" s="5"/>
      <x:c r="D1" s="5"/>
      <x:c r="E1" s="5"/>
      <x:c r="F1" s="5"/>
      <x:c r="G1" s="5"/>
      <x:c r="H1" s="5"/>
    </x:row>
    <x:row r="2" ht="24" customHeight="1">
      <x:c r="A2" s="7" t="str">
        <x:v>Corte 2026-09-27. Porcentaje estimado por tareas verificables, no por líneas de código.</x:v>
      </x:c>
      <x:c r="B2" s="7"/>
      <x:c r="C2" s="7"/>
      <x:c r="D2" s="7"/>
      <x:c r="E2" s="7"/>
      <x:c r="F2" s="7"/>
      <x:c r="G2" s="7"/>
      <x:c r="H2" s="7"/>
    </x:row>
    <x:row r="3" ht="22" customHeight="1">
      <x:c r="A3" s="2"/>
      <x:c r="B3" s="2"/>
      <x:c r="C3" s="2"/>
      <x:c r="D3" s="2"/>
      <x:c r="E3" s="2"/>
      <x:c r="F3" s="2"/>
      <x:c r="G3" s="2"/>
    </x:row>
    <x:row r="4" ht="22" customHeight="1">
      <x:c r="A4" s="12" t="str">
        <x:v>Indicador</x:v>
      </x:c>
      <x:c r="B4" s="13" t="str">
        <x:v>Valor</x:v>
      </x:c>
      <x:c r="C4" s="2"/>
      <x:c r="D4" s="2"/>
      <x:c r="E4" s="2"/>
      <x:c r="F4" s="2"/>
      <x:c r="G4" s="2"/>
    </x:row>
    <x:row r="5" ht="22" customHeight="1">
      <x:c r="A5" s="14" t="str">
        <x:v>Tareas inventariadas</x:v>
      </x:c>
      <x:c r="B5" s="15" t="n">
        <x:f>COUNTA(Tasks!$A$2:$A$48)</x:f>
        <x:v>47</x:v>
      </x:c>
      <x:c r="C5" s="2"/>
      <x:c r="D5" s="2"/>
      <x:c r="E5" s="2"/>
      <x:c r="F5" s="2"/>
      <x:c r="G5" s="2"/>
    </x:row>
    <x:row r="6" ht="22" customHeight="1">
      <x:c r="A6" s="14" t="str">
        <x:v>Progreso global</x:v>
      </x:c>
      <x:c r="B6" s="16" t="n">
        <x:f>SUM(Tasks!$J$2:$J$48)/SUM(Tasks!$F$2:$F$48)</x:f>
        <x:v>0.579787234042553</x:v>
      </x:c>
      <x:c r="C6" s="2"/>
      <x:c r="D6" s="2"/>
      <x:c r="E6" s="2"/>
      <x:c r="F6" s="2"/>
      <x:c r="G6" s="2"/>
    </x:row>
    <x:row r="7" ht="22" customHeight="1">
      <x:c r="A7" s="17" t="str">
        <x:v>Tareas pendientes</x:v>
      </x:c>
      <x:c r="B7" s="18" t="n">
        <x:f>COUNTIF(Tasks!$D$2:$D$48,"Pendiente")</x:f>
        <x:v>13</x:v>
      </x:c>
      <x:c r="C7" s="2"/>
      <x:c r="D7" s="2"/>
      <x:c r="E7" s="2"/>
      <x:c r="F7" s="2"/>
      <x:c r="G7" s="2"/>
    </x:row>
    <x:row r="8" ht="22" customHeight="1">
      <x:c r="A8" s="2"/>
      <x:c r="B8" s="2"/>
      <x:c r="C8" s="2"/>
      <x:c r="D8" s="2"/>
      <x:c r="E8" s="2"/>
      <x:c r="F8" s="2"/>
      <x:c r="G8" s="2"/>
    </x:row>
    <x:row r="9" ht="22" customHeight="1">
      <x:c r="A9" s="2"/>
      <x:c r="B9" s="2"/>
      <x:c r="C9" s="2"/>
      <x:c r="D9" s="2"/>
      <x:c r="E9" s="2"/>
      <x:c r="F9" s="2"/>
      <x:c r="G9" s="2"/>
    </x:row>
    <x:row r="10" ht="22" customHeight="1">
      <x:c r="A10" s="12" t="str">
        <x:v>Área</x:v>
      </x:c>
      <x:c r="B10" s="19" t="str">
        <x:v>Tareas</x:v>
      </x:c>
      <x:c r="C10" s="19" t="str">
        <x:v>Implementadas</x:v>
      </x:c>
      <x:c r="D10" s="19" t="str">
        <x:v>Parciales</x:v>
      </x:c>
      <x:c r="E10" s="19" t="str">
        <x:v>Pendientes</x:v>
      </x:c>
      <x:c r="F10" s="19" t="str">
        <x:v>No verificables</x:v>
      </x:c>
      <x:c r="G10" s="13" t="str">
        <x:v>Progreso</x:v>
      </x:c>
    </x:row>
    <x:row r="11" ht="22" customHeight="1">
      <x:c r="A11" s="14" t="str">
        <x:v>Frontend</x:v>
      </x:c>
      <x:c r="B11" s="2" t="n">
        <x:f>COUNTIF(Tasks!$B$2:$B$48,A11)</x:f>
        <x:v>12</x:v>
      </x:c>
      <x:c r="C11" s="2" t="n">
        <x:f>COUNTIFS(Tasks!$B$2:$B$48,A11,Tasks!$D$2:$D$48,"Implementado")</x:f>
        <x:v>3</x:v>
      </x:c>
      <x:c r="D11" s="2" t="n">
        <x:f>COUNTIFS(Tasks!$B$2:$B$48,A11,Tasks!$D$2:$D$48,"Parcial")</x:f>
        <x:v>5</x:v>
      </x:c>
      <x:c r="E11" s="2" t="n">
        <x:f>COUNTIFS(Tasks!$B$2:$B$48,A11,Tasks!$D$2:$D$48,"Pendiente")</x:f>
        <x:v>4</x:v>
      </x:c>
      <x:c r="F11" s="2" t="n">
        <x:f>COUNTIFS(Tasks!$B$2:$B$48,A11,Tasks!$D$2:$D$48,"No verificable")</x:f>
        <x:v>0</x:v>
      </x:c>
      <x:c r="G11" s="16" t="n">
        <x:f>SUMIF(Tasks!$B$2:$B$48,A11,Tasks!$J$2:$J$48)/SUMIF(Tasks!$B$2:$B$48,A11,Tasks!$F$2:$F$48)</x:f>
        <x:v>0.5499999999999999</x:v>
      </x:c>
    </x:row>
    <x:row r="12" ht="22" customHeight="1">
      <x:c r="A12" s="14" t="str">
        <x:v>Backend</x:v>
      </x:c>
      <x:c r="B12" s="2" t="n">
        <x:f>COUNTIF(Tasks!$B$2:$B$48,A12)</x:f>
        <x:v>16</x:v>
      </x:c>
      <x:c r="C12" s="2" t="n">
        <x:f>COUNTIFS(Tasks!$B$2:$B$48,A12,Tasks!$D$2:$D$48,"Implementado")</x:f>
        <x:v>8</x:v>
      </x:c>
      <x:c r="D12" s="2" t="n">
        <x:f>COUNTIFS(Tasks!$B$2:$B$48,A12,Tasks!$D$2:$D$48,"Parcial")</x:f>
        <x:v>6</x:v>
      </x:c>
      <x:c r="E12" s="2" t="n">
        <x:f>COUNTIFS(Tasks!$B$2:$B$48,A12,Tasks!$D$2:$D$48,"Pendiente")</x:f>
        <x:v>2</x:v>
      </x:c>
      <x:c r="F12" s="2" t="n">
        <x:f>COUNTIFS(Tasks!$B$2:$B$48,A12,Tasks!$D$2:$D$48,"No verificable")</x:f>
        <x:v>0</x:v>
      </x:c>
      <x:c r="G12" s="16" t="n">
        <x:f>SUMIF(Tasks!$B$2:$B$48,A12,Tasks!$J$2:$J$48)/SUMIF(Tasks!$B$2:$B$48,A12,Tasks!$F$2:$F$48)</x:f>
        <x:v>0.703125</x:v>
      </x:c>
    </x:row>
    <x:row r="13" ht="22" customHeight="1">
      <x:c r="A13" s="14" t="str">
        <x:v>DevOps/Docker</x:v>
      </x:c>
      <x:c r="B13" s="2" t="n">
        <x:f>COUNTIF(Tasks!$B$2:$B$48,A13)</x:f>
        <x:v>8</x:v>
      </x:c>
      <x:c r="C13" s="2" t="n">
        <x:f>COUNTIFS(Tasks!$B$2:$B$48,A13,Tasks!$D$2:$D$48,"Implementado")</x:f>
        <x:v>4</x:v>
      </x:c>
      <x:c r="D13" s="2" t="n">
        <x:f>COUNTIFS(Tasks!$B$2:$B$48,A13,Tasks!$D$2:$D$48,"Parcial")</x:f>
        <x:v>1</x:v>
      </x:c>
      <x:c r="E13" s="2" t="n">
        <x:f>COUNTIFS(Tasks!$B$2:$B$48,A13,Tasks!$D$2:$D$48,"Pendiente")</x:f>
        <x:v>3</x:v>
      </x:c>
      <x:c r="F13" s="2" t="n">
        <x:f>COUNTIFS(Tasks!$B$2:$B$48,A13,Tasks!$D$2:$D$48,"No verificable")</x:f>
        <x:v>0</x:v>
      </x:c>
      <x:c r="G13" s="16" t="n">
        <x:f>SUMIF(Tasks!$B$2:$B$48,A13,Tasks!$J$2:$J$48)/SUMIF(Tasks!$B$2:$B$48,A13,Tasks!$F$2:$F$48)</x:f>
        <x:v>0.6000000000000001</x:v>
      </x:c>
    </x:row>
    <x:row r="14" ht="22" customHeight="1">
      <x:c r="A14" s="14" t="str">
        <x:v>QA/Tests</x:v>
      </x:c>
      <x:c r="B14" s="2" t="n">
        <x:f>COUNTIF(Tasks!$B$2:$B$48,A14)</x:f>
        <x:v>6</x:v>
      </x:c>
      <x:c r="C14" s="2" t="n">
        <x:f>COUNTIFS(Tasks!$B$2:$B$48,A14,Tasks!$D$2:$D$48,"Implementado")</x:f>
        <x:v>0</x:v>
      </x:c>
      <x:c r="D14" s="2" t="n">
        <x:f>COUNTIFS(Tasks!$B$2:$B$48,A14,Tasks!$D$2:$D$48,"Parcial")</x:f>
        <x:v>3</x:v>
      </x:c>
      <x:c r="E14" s="2" t="n">
        <x:f>COUNTIFS(Tasks!$B$2:$B$48,A14,Tasks!$D$2:$D$48,"Pendiente")</x:f>
        <x:v>3</x:v>
      </x:c>
      <x:c r="F14" s="2" t="n">
        <x:f>COUNTIFS(Tasks!$B$2:$B$48,A14,Tasks!$D$2:$D$48,"No verificable")</x:f>
        <x:v>0</x:v>
      </x:c>
      <x:c r="G14" s="16" t="n">
        <x:f>SUMIF(Tasks!$B$2:$B$48,A14,Tasks!$J$2:$J$48)/SUMIF(Tasks!$B$2:$B$48,A14,Tasks!$F$2:$F$48)</x:f>
        <x:v>0.27499999999999997</x:v>
      </x:c>
    </x:row>
    <x:row r="15" ht="22" customHeight="1">
      <x:c r="A15" s="17" t="str">
        <x:v>Documentación</x:v>
      </x:c>
      <x:c r="B15" s="20" t="n">
        <x:f>COUNTIF(Tasks!$B$2:$B$48,A15)</x:f>
        <x:v>5</x:v>
      </x:c>
      <x:c r="C15" s="20" t="n">
        <x:f>COUNTIFS(Tasks!$B$2:$B$48,A15,Tasks!$D$2:$D$48,"Implementado")</x:f>
        <x:v>1</x:v>
      </x:c>
      <x:c r="D15" s="20" t="n">
        <x:f>COUNTIFS(Tasks!$B$2:$B$48,A15,Tasks!$D$2:$D$48,"Parcial")</x:f>
        <x:v>3</x:v>
      </x:c>
      <x:c r="E15" s="20" t="n">
        <x:f>COUNTIFS(Tasks!$B$2:$B$48,A15,Tasks!$D$2:$D$48,"Pendiente")</x:f>
        <x:v>1</x:v>
      </x:c>
      <x:c r="F15" s="20" t="n">
        <x:f>COUNTIFS(Tasks!$B$2:$B$48,A15,Tasks!$D$2:$D$48,"No verificable")</x:f>
        <x:v>0</x:v>
      </x:c>
      <x:c r="G15" s="21" t="n">
        <x:f>SUMIF(Tasks!$B$2:$B$48,A15,Tasks!$J$2:$J$48)/SUMIF(Tasks!$B$2:$B$48,A15,Tasks!$F$2:$F$48)</x:f>
        <x:v>0.5900000000000001</x:v>
      </x:c>
    </x:row>
    <x:row r="16" ht="22" customHeight="1">
      <x:c r="A16" s="2"/>
      <x:c r="B16" s="2"/>
      <x:c r="C16" s="2"/>
      <x:c r="D16" s="2"/>
      <x:c r="E16" s="2"/>
      <x:c r="F16" s="2"/>
      <x:c r="G16" s="2"/>
    </x:row>
    <x:row r="17" ht="22" customHeight="1">
      <x:c r="A17" s="2"/>
      <x:c r="B17" s="2"/>
      <x:c r="C17" s="2"/>
      <x:c r="D17" s="2"/>
      <x:c r="E17" s="2"/>
      <x:c r="F17" s="2"/>
      <x:c r="G17" s="2"/>
    </x:row>
    <x:row r="18" ht="22" customHeight="1">
      <x:c r="A18" s="2"/>
      <x:c r="B18" s="2"/>
      <x:c r="C18" s="2"/>
      <x:c r="D18" s="2"/>
      <x:c r="E18" s="2"/>
      <x:c r="F18" s="2"/>
      <x:c r="G18" s="2"/>
    </x:row>
    <x:row r="19" ht="22" customHeight="1">
      <x:c r="A19" s="12" t="str">
        <x:v>Prioridad inmediata</x:v>
      </x:c>
      <x:c r="B19" s="19" t="str">
        <x:v>Área</x:v>
      </x:c>
      <x:c r="C19" s="19" t="str">
        <x:v>Tarea</x:v>
      </x:c>
      <x:c r="D19" s="19" t="str">
        <x:v>Motivo</x:v>
      </x:c>
      <x:c r="E19" s="13" t="str">
        <x:v>Aceptación mínima</x:v>
      </x:c>
      <x:c r="F19" s="2"/>
      <x:c r="G19" s="2"/>
    </x:row>
    <x:row r="20" ht="22" customHeight="1">
      <x:c r="A20" s="24" t="str">
        <x:v>P0</x:v>
      </x:c>
      <x:c r="B20" s="25" t="str">
        <x:v>Backend</x:v>
      </x:c>
      <x:c r="C20" s="25" t="str">
        <x:v>Resolver discrepancia de autenticación #26</x:v>
      </x:c>
      <x:c r="D20" s="25" t="str">
        <x:v>GitHub la marca cerrada, pero develop conserva register/login/get_me en 501 y no declara /api/me.</x:v>
      </x:c>
      <x:c r="E20" s="26" t="str">
        <x:v>Register, login, cookie, /me, logout, errores y tests HTTP realmente verdes.</x:v>
      </x:c>
      <x:c r="F20" s="2"/>
      <x:c r="G20" s="2"/>
    </x:row>
    <x:row r="21" ht="22" customHeight="1">
      <x:c r="A21" s="24" t="str">
        <x:v>P0</x:v>
      </x:c>
      <x:c r="B21" s="25" t="str">
        <x:v>Backend</x:v>
      </x:c>
      <x:c r="C21" s="25" t="str">
        <x:v>Implementar permisos y aislamiento #27</x:v>
      </x:c>
      <x:c r="D21" s="25" t="str">
        <x:v>Los filtros parciales existen, pero require_role sigue sin implementación.</x:v>
      </x:c>
      <x:c r="E21" s="26" t="str">
        <x:v>Matriz admin/client, 401/403, organization scope y pruebas de aislamiento.</x:v>
      </x:c>
      <x:c r="F21" s="2"/>
      <x:c r="G21" s="2"/>
    </x:row>
    <x:row r="22" ht="22" customHeight="1">
      <x:c r="A22" s="24" t="str">
        <x:v>P0</x:v>
      </x:c>
      <x:c r="B22" s="25" t="str">
        <x:v>Backend</x:v>
      </x:c>
      <x:c r="C22" s="25" t="str">
        <x:v>Implementar sites y sensors CRUD #29</x:v>
      </x:c>
      <x:c r="D22" s="25" t="str">
        <x:v>Los dashboards no pueden consumir datos reales.</x:v>
      </x:c>
      <x:c r="E22" s="26" t="str">
        <x:v>GET/list/detail/create/update con aislamiento por organización.</x:v>
      </x:c>
      <x:c r="F22" s="2"/>
      <x:c r="G22" s="2"/>
    </x:row>
    <x:row r="23" ht="22" customHeight="1">
      <x:c r="A23" s="27" t="str">
        <x:v>P0</x:v>
      </x:c>
      <x:c r="B23" s="28" t="str">
        <x:v>Backend</x:v>
      </x:c>
      <x:c r="C23" s="28" t="str">
        <x:v>Completar reglas de alertas #28</x:v>
      </x:c>
      <x:c r="D23" s="28" t="str">
        <x:v>Los endpoints de ciclo de vida están, pero no se generan alertas desde lecturas.</x:v>
      </x:c>
      <x:c r="E23" s="29" t="str">
        <x:v>LOW/HIGH/OFFLINE, deduplicación, acknowledge, resolve y tests.</x:v>
      </x:c>
      <x:c r="F23" s="2"/>
      <x:c r="G23" s="2"/>
    </x:row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39d589f45cd46fc"/>
</x:worksheet>
</file>

<file path=xl/worksheets/sheet2.xml><?xml version="1.0" encoding="utf-8"?>
<x:worksheet xmlns:x="http://schemas.openxmlformats.org/spreadsheetml/2006/main">
  <x:sheetPr>
    <x:tabColor rgb="FF167D8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5" hidden="0" customWidth="1"/>
    <x:col min="5" max="5" width="12" hidden="0" customWidth="1"/>
    <x:col min="6" max="6" width="12" hidden="0" customWidth="1"/>
    <x:col min="7" max="7" width="34" hidden="0" customWidth="1"/>
    <x:col min="8" max="8" width="42" hidden="0" customWidth="1"/>
    <x:col min="9" max="9" width="42" hidden="0" customWidth="1"/>
    <x:col min="10" max="10" width="16" hidden="0" customWidth="1"/>
  </x:cols>
  <x:sheetData>
    <x:row r="1">
      <x:c r="A1" s="31" t="str">
        <x:v>ID</x:v>
      </x:c>
      <x:c r="B1" s="32" t="str">
        <x:v>Área</x:v>
      </x:c>
      <x:c r="C1" s="32" t="str">
        <x:v>Tarea</x:v>
      </x:c>
      <x:c r="D1" s="32" t="str">
        <x:v>Estado</x:v>
      </x:c>
      <x:c r="E1" s="32" t="str">
        <x:v>Progreso</x:v>
      </x:c>
      <x:c r="F1" s="32" t="str">
        <x:v>Peso</x:v>
      </x:c>
      <x:c r="G1" s="32" t="str">
        <x:v>Evidencia</x:v>
      </x:c>
      <x:c r="H1" s="32" t="str">
        <x:v>Situación actual</x:v>
      </x:c>
      <x:c r="I1" s="32" t="str">
        <x:v>Siguiente paso</x:v>
      </x:c>
      <x:c r="J1" s="33" t="str">
        <x:v>Avance ponderado</x:v>
      </x:c>
    </x:row>
    <x:row r="2">
      <x:c r="A2" s="14" t="str">
        <x:v>F01</x:v>
      </x:c>
      <x:c r="B2" s="2" t="str">
        <x:v>Frontend</x:v>
      </x:c>
      <x:c r="C2" s="2" t="str">
        <x:v>Base Vue/Vite/Tailwind y build de producción</x:v>
      </x:c>
      <x:c r="D2" s="2" t="str">
        <x:v>Implementado</x:v>
      </x:c>
      <x:c r="E2" s="11" t="n">
        <x:v>0.95</x:v>
      </x:c>
      <x:c r="F2" s="2" t="n">
        <x:v>1</x:v>
      </x:c>
      <x:c r="G2" s="25" t="str">
        <x:v>frontend/package.json; npm run build; GH #2</x:v>
      </x:c>
      <x:c r="H2" s="25" t="str">
        <x:v>El build de Vite termina correctamente en develop 7a32040. La configuración de lint sigue separada.</x:v>
      </x:c>
      <x:c r="I2" s="25" t="str">
        <x:v>Añadir configuración ESLint/Prettier y ejecutarla en CI.</x:v>
      </x:c>
      <x:c r="J2" s="16" t="n">
        <x:f>E2*F2</x:f>
        <x:v>0.95</x:v>
      </x:c>
    </x:row>
    <x:row r="3">
      <x:c r="A3" s="14" t="str">
        <x:v>F02</x:v>
      </x:c>
      <x:c r="B3" s="2" t="str">
        <x:v>Frontend</x:v>
      </x:c>
      <x:c r="C3" s="2" t="str">
        <x:v>Layouts y componentes visuales compartidos</x:v>
      </x:c>
      <x:c r="D3" s="2" t="str">
        <x:v>Parcial</x:v>
      </x:c>
      <x:c r="E3" s="11" t="n">
        <x:v>0.8</x:v>
      </x:c>
      <x:c r="F3" s="2" t="n">
        <x:v>1</x:v>
      </x:c>
      <x:c r="G3" s="25" t="str">
        <x:v>frontend/src/layouts; frontend/src/components; GH #3 y #37</x:v>
      </x:c>
      <x:c r="H3" s="25" t="str">
        <x:v>Los layouts y los componentes base existen. Los estados reutilizables están creados, pero falta integrarlos de forma consistente en las vistas.</x:v>
      </x:c>
      <x:c r="I3" s="25" t="str">
        <x:v>Cerrar integración de LoadingState, ErrorState, EmptyState, StatusBadge y KPICard.</x:v>
      </x:c>
      <x:c r="J3" s="16" t="n">
        <x:f>E3*F3</x:f>
        <x:v>0.8</x:v>
      </x:c>
    </x:row>
    <x:row r="4">
      <x:c r="A4" s="14" t="str">
        <x:v>F03</x:v>
      </x:c>
      <x:c r="B4" s="2" t="str">
        <x:v>Frontend</x:v>
      </x:c>
      <x:c r="C4" s="2" t="str">
        <x:v>Landing pública</x:v>
      </x:c>
      <x:c r="D4" s="2" t="str">
        <x:v>Implementado</x:v>
      </x:c>
      <x:c r="E4" s="11" t="n">
        <x:v>1</x:v>
      </x:c>
      <x:c r="F4" s="2" t="n">
        <x:v>1</x:v>
      </x:c>
      <x:c r="G4" s="25" t="str">
        <x:v>frontend/src/views/public/LandingView.vue</x:v>
      </x:c>
      <x:c r="H4" s="25" t="str">
        <x:v>La landing y su navegación principal están implementadas.</x:v>
      </x:c>
      <x:c r="I4" s="25" t="str">
        <x:v>Validar contenido final y navegación en Chrome.</x:v>
      </x:c>
      <x:c r="J4" s="16" t="n">
        <x:f>E4*F4</x:f>
        <x:v>1</x:v>
      </x:c>
    </x:row>
    <x:row r="5">
      <x:c r="A5" s="14" t="str">
        <x:v>F04</x:v>
      </x:c>
      <x:c r="B5" s="2" t="str">
        <x:v>Frontend</x:v>
      </x:c>
      <x:c r="C5" s="2" t="str">
        <x:v>Páginas legales</x:v>
      </x:c>
      <x:c r="D5" s="2" t="str">
        <x:v>Implementado</x:v>
      </x:c>
      <x:c r="E5" s="11" t="n">
        <x:v>1</x:v>
      </x:c>
      <x:c r="F5" s="2" t="n">
        <x:v>1</x:v>
      </x:c>
      <x:c r="G5" s="25" t="str">
        <x:v>frontend/src/views/public/PrivacyView.vue; TermsView.vue; GH #6</x:v>
      </x:c>
      <x:c r="H5" s="25" t="str">
        <x:v>Las dos páginas legales están presentes y la issue correspondiente está cerrada en GitHub.</x:v>
      </x:c>
      <x:c r="I5" s="25" t="str">
        <x:v>Hacer revisión final de contenido si cambia la política del proyecto.</x:v>
      </x:c>
      <x:c r="J5" s="16" t="n">
        <x:f>E5*F5</x:f>
        <x:v>1</x:v>
      </x:c>
    </x:row>
    <x:row r="6">
      <x:c r="A6" s="14" t="str">
        <x:v>F05</x:v>
      </x:c>
      <x:c r="B6" s="2" t="str">
        <x:v>Frontend</x:v>
      </x:c>
      <x:c r="C6" s="2" t="str">
        <x:v>Router, guards y navegación por rol</x:v>
      </x:c>
      <x:c r="D6" s="2" t="str">
        <x:v>Parcial</x:v>
      </x:c>
      <x:c r="E6" s="11" t="n">
        <x:v>0.45</x:v>
      </x:c>
      <x:c r="F6" s="2" t="n">
        <x:v>1</x:v>
      </x:c>
      <x:c r="G6" s="25" t="str">
        <x:v>frontend/src/router/index.js; GH #35 y #36</x:v>
      </x:c>
      <x:c r="H6" s="25" t="str">
        <x:v>El router público sigue sin registrar login, registro, dashboards ni guards. GitHub mantiene #35 y #36 abiertas.</x:v>
      </x:c>
      <x:c r="I6" s="25" t="str">
        <x:v>Registrar rutas, implementar guards y comprobar redirecciones por rol.</x:v>
      </x:c>
      <x:c r="J6" s="16" t="n">
        <x:f>E6*F6</x:f>
        <x:v>0.45</x:v>
      </x:c>
    </x:row>
    <x:row r="7">
      <x:c r="A7" s="14" t="str">
        <x:v>F06</x:v>
      </x:c>
      <x:c r="B7" s="2" t="str">
        <x:v>Frontend</x:v>
      </x:c>
      <x:c r="C7" s="2" t="str">
        <x:v>Stores de sensores y lecturas</x:v>
      </x:c>
      <x:c r="D7" s="2" t="str">
        <x:v>Parcial</x:v>
      </x:c>
      <x:c r="E7" s="11" t="n">
        <x:v>0.75</x:v>
      </x:c>
      <x:c r="F7" s="2" t="n">
        <x:v>1</x:v>
      </x:c>
      <x:c r="G7" s="25" t="str">
        <x:v>frontend/src/stores/sensors.js; readings.js</x:v>
      </x:c>
      <x:c r="H7" s="25" t="str">
        <x:v>Carga de sensores y lecturas con estados remotos. Falta completar el flujo de organización y estados comunes.</x:v>
      </x:c>
      <x:c r="I7" s="25" t="str">
        <x:v>Conectar autenticación, tenant y paginación real.</x:v>
      </x:c>
      <x:c r="J7" s="16" t="n">
        <x:f>E7*F7</x:f>
        <x:v>0.75</x:v>
      </x:c>
    </x:row>
    <x:row r="8">
      <x:c r="A8" s="14" t="str">
        <x:v>F07</x:v>
      </x:c>
      <x:c r="B8" s="2" t="str">
        <x:v>Frontend</x:v>
      </x:c>
      <x:c r="C8" s="2" t="str">
        <x:v>HTTP adapter, mock adapter y servicios</x:v>
      </x:c>
      <x:c r="D8" s="2" t="str">
        <x:v>Parcial</x:v>
      </x:c>
      <x:c r="E8" s="11" t="n">
        <x:v>0.75</x:v>
      </x:c>
      <x:c r="F8" s="2" t="n">
        <x:v>1</x:v>
      </x:c>
      <x:c r="G8" s="25" t="str">
        <x:v>frontend/src/services</x:v>
      </x:c>
      <x:c r="H8" s="25" t="str">
        <x:v>Existe separación HTTP/mock y fixtures compatibles con el contrato. No todos los endpoints backend existen aún.</x:v>
      </x:c>
      <x:c r="I8" s="25" t="str">
        <x:v>Mantener mock y backend sincronizados mediante contrato verificable.</x:v>
      </x:c>
      <x:c r="J8" s="16" t="n">
        <x:f>E8*F8</x:f>
        <x:v>0.75</x:v>
      </x:c>
    </x:row>
    <x:row r="9">
      <x:c r="A9" s="14" t="str">
        <x:v>F08</x:v>
      </x:c>
      <x:c r="B9" s="2" t="str">
        <x:v>Frontend</x:v>
      </x:c>
      <x:c r="C9" s="2" t="str">
        <x:v>Detalle de sensor e histórico</x:v>
      </x:c>
      <x:c r="D9" s="2" t="str">
        <x:v>Parcial</x:v>
      </x:c>
      <x:c r="E9" s="11" t="n">
        <x:v>0.75</x:v>
      </x:c>
      <x:c r="F9" s="2" t="n">
        <x:v>1</x:v>
      </x:c>
      <x:c r="G9" s="25" t="str">
        <x:v>SensorDetailView.vue; reading.service.js; GH #40</x:v>
      </x:c>
      <x:c r="H9" s="25" t="str">
        <x:v>El endpoint histórico ya existe en develop mediante PR #77, pero la vista aún no integra el flujo real ni una representación útil.</x:v>
      </x:c>
      <x:c r="I9" s="25" t="str">
        <x:v>Conectar el histórico real y cubrir loading/error/empty.</x:v>
      </x:c>
      <x:c r="J9" s="16" t="n">
        <x:f>E9*F9</x:f>
        <x:v>0.75</x:v>
      </x:c>
    </x:row>
    <x:row r="10">
      <x:c r="A10" s="14" t="str">
        <x:v>F09</x:v>
      </x:c>
      <x:c r="B10" s="2" t="str">
        <x:v>Frontend</x:v>
      </x:c>
      <x:c r="C10" s="2" t="str">
        <x:v>Autenticación en frontend</x:v>
      </x:c>
      <x:c r="D10" s="2" t="str">
        <x:v>Pendiente</x:v>
      </x:c>
      <x:c r="E10" s="11" t="n">
        <x:v>0.05</x:v>
      </x:c>
      <x:c r="F10" s="2" t="n">
        <x:v>1</x:v>
      </x:c>
      <x:c r="G10" s="25" t="str">
        <x:v>auth.service.js; stores/auth.js; LoginView.vue; GH #35</x:v>
      </x:c>
      <x:c r="H10" s="25" t="str">
        <x:v>Las vistas y el store siguen siendo stubs. No hay flujo funcional de login, registro, sesión ni logout.</x:v>
      </x:c>
      <x:c r="I10" s="25" t="str">
        <x:v>Implementar formularios, store, sesión, errores y navegación posterior.</x:v>
      </x:c>
      <x:c r="J10" s="16" t="n">
        <x:f>E10*F10</x:f>
        <x:v>0.05</x:v>
      </x:c>
    </x:row>
    <x:row r="11">
      <x:c r="A11" s="14" t="str">
        <x:v>F10</x:v>
      </x:c>
      <x:c r="B11" s="2" t="str">
        <x:v>Frontend</x:v>
      </x:c>
      <x:c r="C11" s="2" t="str">
        <x:v>Alertas en frontend</x:v>
      </x:c>
      <x:c r="D11" s="2" t="str">
        <x:v>Pendiente</x:v>
      </x:c>
      <x:c r="E11" s="11" t="n">
        <x:v>0.1</x:v>
      </x:c>
      <x:c r="F11" s="2" t="n">
        <x:v>1</x:v>
      </x:c>
      <x:c r="G11" s="25" t="str">
        <x:v>alert.service.js; stores/alerts.js</x:v>
      </x:c>
      <x:c r="H11" s="25" t="str">
        <x:v>El servicio declara endpoints, pero el store no tiene acciones y no hay UI funcional.</x:v>
      </x:c>
      <x:c r="I11" s="25" t="str">
        <x:v>Implementar listado, acknowledge, resolve, filtros y estados de carga/error.</x:v>
      </x:c>
      <x:c r="J11" s="16" t="n">
        <x:f>E11*F11</x:f>
        <x:v>0.1</x:v>
      </x:c>
    </x:row>
    <x:row r="12">
      <x:c r="A12" s="14" t="str">
        <x:v>F11</x:v>
      </x:c>
      <x:c r="B12" s="2" t="str">
        <x:v>Frontend</x:v>
      </x:c>
      <x:c r="C12" s="2" t="str">
        <x:v>Dashboards admin y cliente</x:v>
      </x:c>
      <x:c r="D12" s="2" t="str">
        <x:v>Pendiente</x:v>
      </x:c>
      <x:c r="E12" s="11" t="n">
        <x:v>0</x:v>
      </x:c>
      <x:c r="F12" s="2" t="n">
        <x:v>1</x:v>
      </x:c>
      <x:c r="G12" s="25" t="str">
        <x:v>frontend/src/views/admin/DashboardView.vue; client/DashboardView.vue</x:v>
      </x:c>
      <x:c r="H12" s="25" t="str">
        <x:v>Las vistas solo contienen imports y comentarios de intención.</x:v>
      </x:c>
      <x:c r="I12" s="25" t="str">
        <x:v>Implementar KPIs, sensores, alertas, permisos y estados por bloque.</x:v>
      </x:c>
      <x:c r="J12" s="16" t="n">
        <x:f>E12*F12</x:f>
        <x:v>0</x:v>
      </x:c>
    </x:row>
    <x:row r="13">
      <x:c r="A13" s="14" t="str">
        <x:v>F12</x:v>
      </x:c>
      <x:c r="B13" s="2" t="str">
        <x:v>Frontend</x:v>
      </x:c>
      <x:c r="C13" s="2" t="str">
        <x:v>Mapa Leaflet, gráficos y filtros</x:v>
      </x:c>
      <x:c r="D13" s="2" t="str">
        <x:v>Pendiente</x:v>
      </x:c>
      <x:c r="E13" s="11" t="n">
        <x:v>0</x:v>
      </x:c>
      <x:c r="F13" s="2" t="n">
        <x:v>1</x:v>
      </x:c>
      <x:c r="G13" s="25" t="str">
        <x:v>frontend/package.json; docs/florinda; docs/lylia</x:v>
      </x:c>
      <x:c r="H13" s="25" t="str">
        <x:v>Leaflet y Chart.js están en dependencias, pero no hay integración funcional en las vistas.</x:v>
      </x:c>
      <x:c r="I13" s="25" t="str">
        <x:v>Añadir mapa de sites, gráfico de lecturas y filtros combinados.</x:v>
      </x:c>
      <x:c r="J13" s="16" t="n">
        <x:f>E13*F13</x:f>
        <x:v>0</x:v>
      </x:c>
    </x:row>
    <x:row r="14">
      <x:c r="A14" s="14" t="str">
        <x:v>B01</x:v>
      </x:c>
      <x:c r="B14" s="2" t="str">
        <x:v>Backend</x:v>
      </x:c>
      <x:c r="C14" s="2" t="str">
        <x:v>Arquitectura modular FastAPI y health</x:v>
      </x:c>
      <x:c r="D14" s="2" t="str">
        <x:v>Implementado</x:v>
      </x:c>
      <x:c r="E14" s="11" t="n">
        <x:v>1</x:v>
      </x:c>
      <x:c r="F14" s="2" t="n">
        <x:v>1</x:v>
      </x:c>
      <x:c r="G14" s="25" t="str">
        <x:v>backend/app/main.py; core/health.py; api.py</x:v>
      </x:c>
      <x:c r="H14" s="25" t="str">
        <x:v>Factory, handlers, routers y liveness/readiness están implementados.</x:v>
      </x:c>
      <x:c r="I14" s="25" t="str">
        <x:v>Mantener smoke test real en CI.</x:v>
      </x:c>
      <x:c r="J14" s="16" t="n">
        <x:f>E14*F14</x:f>
        <x:v>1</x:v>
      </x:c>
    </x:row>
    <x:row r="15">
      <x:c r="A15" s="14" t="str">
        <x:v>B02</x:v>
      </x:c>
      <x:c r="B15" s="2" t="str">
        <x:v>Backend</x:v>
      </x:c>
      <x:c r="C15" s="2" t="str">
        <x:v>Schemas Pydantic y contrato OpenAPI</x:v>
      </x:c>
      <x:c r="D15" s="2" t="str">
        <x:v>Implementado</x:v>
      </x:c>
      <x:c r="E15" s="11" t="n">
        <x:v>0.9</x:v>
      </x:c>
      <x:c r="F15" s="2" t="n">
        <x:v>1</x:v>
      </x:c>
      <x:c r="G15" s="25" t="str">
        <x:v>backend/app/modules/*/schemas.py; openapi.py</x:v>
      </x:c>
      <x:c r="H15" s="25" t="str">
        <x:v>Contratos, paginación, errores y schemas publicados, aunque varias rutas aún no existen.</x:v>
      </x:c>
      <x:c r="I15" s="25" t="str">
        <x:v>Regenerar/validar contrato contra endpoints reales.</x:v>
      </x:c>
      <x:c r="J15" s="16" t="n">
        <x:f>E15*F15</x:f>
        <x:v>0.9</x:v>
      </x:c>
    </x:row>
    <x:row r="16">
      <x:c r="A16" s="14" t="str">
        <x:v>B03</x:v>
      </x:c>
      <x:c r="B16" s="2" t="str">
        <x:v>Backend</x:v>
      </x:c>
      <x:c r="C16" s="2" t="str">
        <x:v>Modelos SQLAlchemy y registro global</x:v>
      </x:c>
      <x:c r="D16" s="2" t="str">
        <x:v>Parcial</x:v>
      </x:c>
      <x:c r="E16" s="11" t="n">
        <x:v>0.85</x:v>
      </x:c>
      <x:c r="F16" s="2" t="n">
        <x:v>1</x:v>
      </x:c>
      <x:c r="G16" s="25" t="str">
        <x:v>backend/app/modules/*/model.py; core/models.py; GH #13 y #74</x:v>
      </x:c>
      <x:c r="H16" s="25" t="str">
        <x:v>Users ya se alineó con el contrato. Sensor aún no contiene todos los campos que esperan schemas/fixtures y analytics no tiene modelo.</x:v>
      </x:c>
      <x:c r="I16" s="25" t="str">
        <x:v>Cerrar contrato Sensor, decidir campos opcionales y validar migración/seed.</x:v>
      </x:c>
      <x:c r="J16" s="16" t="n">
        <x:f>E16*F16</x:f>
        <x:v>0.85</x:v>
      </x:c>
    </x:row>
    <x:row r="17">
      <x:c r="A17" s="14" t="str">
        <x:v>B04</x:v>
      </x:c>
      <x:c r="B17" s="2" t="str">
        <x:v>Backend</x:v>
      </x:c>
      <x:c r="C17" s="2" t="str">
        <x:v>Cadena Alembic y migraciones</x:v>
      </x:c>
      <x:c r="D17" s="2" t="str">
        <x:v>Parcial</x:v>
      </x:c>
      <x:c r="E17" s="11" t="n">
        <x:v>0.85</x:v>
      </x:c>
      <x:c r="F17" s="2" t="n">
        <x:v>1</x:v>
      </x:c>
      <x:c r="G17" s="25" t="str">
        <x:v>backend/migrations/versions; migrations/env.py; GH #12 y #69</x:v>
      </x:c>
      <x:c r="H17" s="25" t="str">
        <x:v>Las migraciones y upgrade head existen, pero #69 mantiene limpieza de revisiones y verificación sobre una base limpia.</x:v>
      </x:c>
      <x:c r="I17" s="25" t="str">
        <x:v>Resolver redundancias y probar upgrade/downgrade sobre PostgreSQL limpio.</x:v>
      </x:c>
      <x:c r="J17" s="16" t="n">
        <x:f>E17*F17</x:f>
        <x:v>0.85</x:v>
      </x:c>
    </x:row>
    <x:row r="18">
      <x:c r="A18" s="14" t="str">
        <x:v>B05</x:v>
      </x:c>
      <x:c r="B18" s="2" t="str">
        <x:v>Backend</x:v>
      </x:c>
      <x:c r="C18" s="2" t="str">
        <x:v>Repositories de users y organizations</x:v>
      </x:c>
      <x:c r="D18" s="2" t="str">
        <x:v>Parcial</x:v>
      </x:c>
      <x:c r="E18" s="11" t="n">
        <x:v>0.8</x:v>
      </x:c>
      <x:c r="F18" s="2" t="n">
        <x:v>1</x:v>
      </x:c>
      <x:c r="G18" s="25" t="str">
        <x:v>backend/app/modules/users/repository.py; organizations/repository.py; GH #17</x:v>
      </x:c>
      <x:c r="H18" s="25" t="str">
        <x:v>Los repositories están mergeados, pero el uso desde services/rutas aún no completa el vertical slice.</x:v>
      </x:c>
      <x:c r="I18" s="25" t="str">
        <x:v>Conectar casos de uso y endpoints de usuario/organización.</x:v>
      </x:c>
      <x:c r="J18" s="16" t="n">
        <x:f>E18*F18</x:f>
        <x:v>0.8</x:v>
      </x:c>
    </x:row>
    <x:row r="19">
      <x:c r="A19" s="14" t="str">
        <x:v>B06</x:v>
      </x:c>
      <x:c r="B19" s="2" t="str">
        <x:v>Backend</x:v>
      </x:c>
      <x:c r="C19" s="2" t="str">
        <x:v>Repositories de sensors y readings</x:v>
      </x:c>
      <x:c r="D19" s="2" t="str">
        <x:v>Implementado</x:v>
      </x:c>
      <x:c r="E19" s="11" t="n">
        <x:v>1</x:v>
      </x:c>
      <x:c r="F19" s="2" t="n">
        <x:v>1</x:v>
      </x:c>
      <x:c r="G19" s="25" t="str">
        <x:v>backend/app/modules/sensors/repository.py; readings/repository.py; GH #14</x:v>
      </x:c>
      <x:c r="H19" s="25" t="str">
        <x:v>Los repositories de sensors/readings están disponibles y el histórico los consume desde develop.</x:v>
      </x:c>
      <x:c r="I19" s="25" t="str">
        <x:v>Añadir casos límite y ejecutar suite en entorno limpio.</x:v>
      </x:c>
      <x:c r="J19" s="16" t="n">
        <x:f>E19*F19</x:f>
        <x:v>1</x:v>
      </x:c>
    </x:row>
    <x:row r="20">
      <x:c r="A20" s="14" t="str">
        <x:v>B07</x:v>
      </x:c>
      <x:c r="B20" s="2" t="str">
        <x:v>Backend</x:v>
      </x:c>
      <x:c r="C20" s="2" t="str">
        <x:v>POST /api/readings</x:v>
      </x:c>
      <x:c r="D20" s="2" t="str">
        <x:v>Implementado</x:v>
      </x:c>
      <x:c r="E20" s="11" t="n">
        <x:v>1</x:v>
      </x:c>
      <x:c r="F20" s="2" t="n">
        <x:v>1</x:v>
      </x:c>
      <x:c r="G20" s="25" t="str">
        <x:v>backend/app/modules/readings/router.py; service.py; tests; GH #24 y PR #72</x:v>
      </x:c>
      <x:c r="H20" s="25" t="str">
        <x:v>La ruta persiste y devuelve la lectura. La integración con reglas de alertas queda fuera de esta entrega y pertenece a #28.</x:v>
      </x:c>
      <x:c r="I20" s="25" t="str">
        <x:v>Conectar evaluación de alertas sin romper la transacción existente.</x:v>
      </x:c>
      <x:c r="J20" s="16" t="n">
        <x:f>E20*F20</x:f>
        <x:v>1</x:v>
      </x:c>
    </x:row>
    <x:row r="21">
      <x:c r="A21" s="14" t="str">
        <x:v>B08</x:v>
      </x:c>
      <x:c r="B21" s="2" t="str">
        <x:v>Backend</x:v>
      </x:c>
      <x:c r="C21" s="2" t="str">
        <x:v>GET /api/sensors/{id}/readings</x:v>
      </x:c>
      <x:c r="D21" s="2" t="str">
        <x:v>Implementado</x:v>
      </x:c>
      <x:c r="E21" s="11" t="n">
        <x:v>1</x:v>
      </x:c>
      <x:c r="F21" s="2" t="n">
        <x:v>1</x:v>
      </x:c>
      <x:c r="G21" s="25" t="str">
        <x:v>readings/router.py; service.py; tests; GH #25 y PR #77</x:v>
      </x:c>
      <x:c r="H21" s="25" t="str">
        <x:v>El histórico paginado y el aislamiento por organización están implementados. La issue #25 sigue abierta por los endpoints de sensors.</x:v>
      </x:c>
      <x:c r="I21" s="25" t="str">
        <x:v>Completar GET /api/sensors y GET /api/sensors/{id}.</x:v>
      </x:c>
      <x:c r="J21" s="16" t="n">
        <x:f>E21*F21</x:f>
        <x:v>1</x:v>
      </x:c>
    </x:row>
    <x:row r="22">
      <x:c r="A22" s="14" t="str">
        <x:v>B09</x:v>
      </x:c>
      <x:c r="B22" s="2" t="str">
        <x:v>Backend</x:v>
      </x:c>
      <x:c r="C22" s="2" t="str">
        <x:v>Seguridad, cookie de sesión y logout</x:v>
      </x:c>
      <x:c r="D22" s="2" t="str">
        <x:v>Implementado</x:v>
      </x:c>
      <x:c r="E22" s="11" t="n">
        <x:v>0.9</x:v>
      </x:c>
      <x:c r="F22" s="2" t="n">
        <x:v>1</x:v>
      </x:c>
      <x:c r="G22" s="25" t="str">
        <x:v>core/security.py; auth/router.py; tests; GH #26 y PR #75</x:v>
      </x:c>
      <x:c r="H22" s="25" t="str">
        <x:v>La cookie firmada, Argon2, lectura de sesión y logout están presentes. La verificación de credenciales sigue en stubs del service.</x:v>
      </x:c>
      <x:c r="I22" s="25" t="str">
        <x:v>Completar la lógica de register/login/me y actualizar pruebas de integración.</x:v>
      </x:c>
      <x:c r="J22" s="16" t="n">
        <x:f>E22*F22</x:f>
        <x:v>0.9</x:v>
      </x:c>
    </x:row>
    <x:row r="23">
      <x:c r="A23" s="14" t="str">
        <x:v>B10</x:v>
      </x:c>
      <x:c r="B23" s="2" t="str">
        <x:v>Backend</x:v>
      </x:c>
      <x:c r="C23" s="2" t="str">
        <x:v>Register, login y GET /api/me</x:v>
      </x:c>
      <x:c r="D23" s="2" t="str">
        <x:v>Parcial</x:v>
      </x:c>
      <x:c r="E23" s="11" t="n">
        <x:v>0.2</x:v>
      </x:c>
      <x:c r="F23" s="2" t="n">
        <x:v>1</x:v>
      </x:c>
      <x:c r="G23" s="25" t="str">
        <x:v>auth/service.py; users/service.py; users/router.py; GH #26</x:v>
      </x:c>
      <x:c r="H23" s="25" t="str">
        <x:v>GitHub marca #26 cerrada, pero el código de develop mantiene register/login/get_me en 501 y users/router.py sin rutas.</x:v>
      </x:c>
      <x:c r="I23" s="25" t="str">
        <x:v>Resolver la discrepancia y probar el flujo HTTP completo.</x:v>
      </x:c>
      <x:c r="J23" s="16" t="n">
        <x:f>E23*F23</x:f>
        <x:v>0.2</x:v>
      </x:c>
    </x:row>
    <x:row r="24">
      <x:c r="A24" s="14" t="str">
        <x:v>B11</x:v>
      </x:c>
      <x:c r="B24" s="2" t="str">
        <x:v>Backend</x:v>
      </x:c>
      <x:c r="C24" s="2" t="str">
        <x:v>Roles y aislamiento multi-tenant</x:v>
      </x:c>
      <x:c r="D24" s="2" t="str">
        <x:v>Parcial</x:v>
      </x:c>
      <x:c r="E24" s="11" t="n">
        <x:v>0.25</x:v>
      </x:c>
      <x:c r="F24" s="2" t="n">
        <x:v>1</x:v>
      </x:c>
      <x:c r="G24" s="25" t="str">
        <x:v>shared/dependencies.py; repositories; GH #27</x:v>
      </x:c>
      <x:c r="H24" s="25" t="str">
        <x:v>El usuario de sesión y varios filtros existen, pero require_role aún lanza NotImplementedYetError y faltan routers protegidos.</x:v>
      </x:c>
      <x:c r="I24" s="25" t="str">
        <x:v>Definir matriz admin/client y aplicarla a cada endpoint privado.</x:v>
      </x:c>
      <x:c r="J24" s="16" t="n">
        <x:f>E24*F24</x:f>
        <x:v>0.25</x:v>
      </x:c>
    </x:row>
    <x:row r="25">
      <x:c r="A25" s="14" t="str">
        <x:v>B12</x:v>
      </x:c>
      <x:c r="B25" s="2" t="str">
        <x:v>Backend</x:v>
      </x:c>
      <x:c r="C25" s="2" t="str">
        <x:v>Endpoints de sites y sensors</x:v>
      </x:c>
      <x:c r="D25" s="2" t="str">
        <x:v>Pendiente</x:v>
      </x:c>
      <x:c r="E25" s="11" t="n">
        <x:v>0</x:v>
      </x:c>
      <x:c r="F25" s="2" t="n">
        <x:v>1</x:v>
      </x:c>
      <x:c r="G25" s="25" t="str">
        <x:v>sites/router.py; sensors/router.py; services; GH #29</x:v>
      </x:c>
      <x:c r="H25" s="25" t="str">
        <x:v>Los modelos y repositories existen, pero routers y services siguen sin lógica.</x:v>
      </x:c>
      <x:c r="I25" s="25" t="str">
        <x:v>Implementar list/detail/sites/sensors con scope y validación.</x:v>
      </x:c>
      <x:c r="J25" s="16" t="n">
        <x:f>E25*F25</x:f>
        <x:v>0</x:v>
      </x:c>
    </x:row>
    <x:row r="26">
      <x:c r="A26" s="14" t="str">
        <x:v>B13</x:v>
      </x:c>
      <x:c r="B26" s="2" t="str">
        <x:v>Backend</x:v>
      </x:c>
      <x:c r="C26" s="2" t="str">
        <x:v>Persistencia de alertas</x:v>
      </x:c>
      <x:c r="D26" s="2" t="str">
        <x:v>Implementado</x:v>
      </x:c>
      <x:c r="E26" s="11" t="n">
        <x:v>0.95</x:v>
      </x:c>
      <x:c r="F26" s="2" t="n">
        <x:v>1</x:v>
      </x:c>
      <x:c r="G26" s="25" t="str">
        <x:v>alerts/model.py; repository.py; tests; GH #18</x:v>
      </x:c>
      <x:c r="H26" s="25" t="str">
        <x:v>Modelo, restricciones, repository y tests de persistencia están disponibles.</x:v>
      </x:c>
      <x:c r="I26" s="25" t="str">
        <x:v>Añadir integración de creación automática desde readings.</x:v>
      </x:c>
      <x:c r="J26" s="16" t="n">
        <x:f>E26*F26</x:f>
        <x:v>0.95</x:v>
      </x:c>
    </x:row>
    <x:row r="27">
      <x:c r="A27" s="14" t="str">
        <x:v>B14</x:v>
      </x:c>
      <x:c r="B27" s="2" t="str">
        <x:v>Backend</x:v>
      </x:c>
      <x:c r="C27" s="2" t="str">
        <x:v>Reglas y endpoints de alertas</x:v>
      </x:c>
      <x:c r="D27" s="2" t="str">
        <x:v>Parcial</x:v>
      </x:c>
      <x:c r="E27" s="11" t="n">
        <x:v>0.65</x:v>
      </x:c>
      <x:c r="F27" s="2" t="n">
        <x:v>1</x:v>
      </x:c>
      <x:c r="G27" s="25" t="str">
        <x:v>alerts/service.py; alerts/router.py; readings/service.py; GH #28 y PR #78</x:v>
      </x:c>
      <x:c r="H27" s="25" t="str">
        <x:v>GET/list/acknowledge/resolve están implementados. Las reglas LOW/HIGH y SENSOR_OFFLINE todavía no se generan desde lecturas.</x:v>
      </x:c>
      <x:c r="I27" s="25" t="str">
        <x:v>Implementar reglas, idempotencia de generación y cálculo offline.</x:v>
      </x:c>
      <x:c r="J27" s="16" t="n">
        <x:f>E27*F27</x:f>
        <x:v>0.65</x:v>
      </x:c>
    </x:row>
    <x:row r="28">
      <x:c r="A28" s="14" t="str">
        <x:v>B15</x:v>
      </x:c>
      <x:c r="B28" s="2" t="str">
        <x:v>Backend</x:v>
      </x:c>
      <x:c r="C28" s="2" t="str">
        <x:v>Analytics y agregaciones</x:v>
      </x:c>
      <x:c r="D28" s="2" t="str">
        <x:v>Pendiente</x:v>
      </x:c>
      <x:c r="E28" s="11" t="n">
        <x:v>0</x:v>
      </x:c>
      <x:c r="F28" s="2" t="n">
        <x:v>1</x:v>
      </x:c>
      <x:c r="G28" s="25" t="str">
        <x:v>analytics/model.py; repository.py; router.py; schemas.py</x:v>
      </x:c>
      <x:c r="H28" s="25" t="str">
        <x:v>Los archivos son scaffolding sin lógica ni rutas.</x:v>
      </x:c>
      <x:c r="I28" s="25" t="str">
        <x:v>Definir KPIs, rangos, agregaciones y contrato de exportación.</x:v>
      </x:c>
      <x:c r="J28" s="16" t="n">
        <x:f>E28*F28</x:f>
        <x:v>0</x:v>
      </x:c>
    </x:row>
    <x:row r="29">
      <x:c r="A29" s="14" t="str">
        <x:v>B16</x:v>
      </x:c>
      <x:c r="B29" s="2" t="str">
        <x:v>Backend</x:v>
      </x:c>
      <x:c r="C29" s="2" t="str">
        <x:v>Excepciones, paginación y wiring común</x:v>
      </x:c>
      <x:c r="D29" s="2" t="str">
        <x:v>Implementado</x:v>
      </x:c>
      <x:c r="E29" s="11" t="n">
        <x:v>0.9</x:v>
      </x:c>
      <x:c r="F29" s="2" t="n">
        <x:v>1</x:v>
      </x:c>
      <x:c r="G29" s="25" t="str">
        <x:v>core/exceptions.py; shared/schemas.py; shared/dependencies.py</x:v>
      </x:c>
      <x:c r="H29" s="25" t="str">
        <x:v>Envelope de errores, paginación y composición modular están implementados.</x:v>
      </x:c>
      <x:c r="I29" s="25" t="str">
        <x:v>Añadir cobertura de errores y comprobar que no quedan dependencias sin usar.</x:v>
      </x:c>
      <x:c r="J29" s="16" t="n">
        <x:f>E29*F29</x:f>
        <x:v>0.9</x:v>
      </x:c>
    </x:row>
    <x:row r="30">
      <x:c r="A30" s="14" t="str">
        <x:v>O01</x:v>
      </x:c>
      <x:c r="B30" s="2" t="str">
        <x:v>DevOps/Docker</x:v>
      </x:c>
      <x:c r="C30" s="2" t="str">
        <x:v>Compose, red, volumen y dependencias de servicios</x:v>
      </x:c>
      <x:c r="D30" s="2" t="str">
        <x:v>Implementado</x:v>
      </x:c>
      <x:c r="E30" s="11" t="n">
        <x:v>0.9</x:v>
      </x:c>
      <x:c r="F30" s="2" t="n">
        <x:v>1</x:v>
      </x:c>
      <x:c r="G30" s="25" t="str">
        <x:v>compose.yaml; compose.dev.yaml; docker compose config; GH #19</x:v>
      </x:c>
      <x:c r="H30" s="25" t="str">
        <x:v>Compose valida correctamente y la issue base está cerrada. Falta evidencia del stack completo en ejecución.</x:v>
      </x:c>
      <x:c r="I30" s="25" t="str">
        <x:v>Ejecutar stack completo y guardar evidencia de salud.</x:v>
      </x:c>
      <x:c r="J30" s="16" t="n">
        <x:f>E30*F30</x:f>
        <x:v>0.9</x:v>
      </x:c>
    </x:row>
    <x:row r="31">
      <x:c r="A31" s="14" t="str">
        <x:v>O02</x:v>
      </x:c>
      <x:c r="B31" s="2" t="str">
        <x:v>DevOps/Docker</x:v>
      </x:c>
      <x:c r="C31" s="2" t="str">
        <x:v>Gateway Nginx, HTTPS, SPA y proxy API/WS</x:v>
      </x:c>
      <x:c r="D31" s="2" t="str">
        <x:v>Implementado</x:v>
      </x:c>
      <x:c r="E31" s="11" t="n">
        <x:v>0.9</x:v>
      </x:c>
      <x:c r="F31" s="2" t="n">
        <x:v>1</x:v>
      </x:c>
      <x:c r="G31" s="25" t="str">
        <x:v>gateway/nginx.conf; gateway/Dockerfile</x:v>
      </x:c>
      <x:c r="H31" s="25" t="str">
        <x:v>TLS, redirect 80→443, SPA fallback, /api y /ws están configurados.</x:v>
      </x:c>
      <x:c r="I31" s="25" t="str">
        <x:v>Validar WebSocket real y sustituir certificado autofirmado en producción.</x:v>
      </x:c>
      <x:c r="J31" s="16" t="n">
        <x:f>E31*F31</x:f>
        <x:v>0.9</x:v>
      </x:c>
    </x:row>
    <x:row r="32">
      <x:c r="A32" s="14" t="str">
        <x:v>O03</x:v>
      </x:c>
      <x:c r="B32" s="2" t="str">
        <x:v>DevOps/Docker</x:v>
      </x:c>
      <x:c r="C32" s="2" t="str">
        <x:v>Imagen backend y migración al arrancar</x:v>
      </x:c>
      <x:c r="D32" s="2" t="str">
        <x:v>Implementado</x:v>
      </x:c>
      <x:c r="E32" s="11" t="n">
        <x:v>0.9</x:v>
      </x:c>
      <x:c r="F32" s="2" t="n">
        <x:v>1</x:v>
      </x:c>
      <x:c r="G32" s="25" t="str">
        <x:v>backend/Dockerfile; backend/tools/entrypoint.sh; GH #12</x:v>
      </x:c>
      <x:c r="H32" s="25" t="str">
        <x:v>La imagen copia app, migrations y alembic.ini y ejecuta upgrade head antes de Uvicorn.</x:v>
      </x:c>
      <x:c r="I32" s="25" t="str">
        <x:v>Probar arranque desde volumen limpio y rollback controlado.</x:v>
      </x:c>
      <x:c r="J32" s="16" t="n">
        <x:f>E32*F32</x:f>
        <x:v>0.9</x:v>
      </x:c>
    </x:row>
    <x:row r="33">
      <x:c r="A33" s="14" t="str">
        <x:v>O04</x:v>
      </x:c>
      <x:c r="B33" s="2" t="str">
        <x:v>DevOps/Docker</x:v>
      </x:c>
      <x:c r="C33" s="2" t="str">
        <x:v>Build de frontend de producción</x:v>
      </x:c>
      <x:c r="D33" s="2" t="str">
        <x:v>Implementado</x:v>
      </x:c>
      <x:c r="E33" s="11" t="n">
        <x:v>0.95</x:v>
      </x:c>
      <x:c r="F33" s="2" t="n">
        <x:v>1</x:v>
      </x:c>
      <x:c r="G33" s="25" t="str">
        <x:v>gateway/Dockerfile; frontend/package-lock.json; npm run build</x:v>
      </x:c>
      <x:c r="H33" s="25" t="str">
        <x:v>El build de producción pasa con 116 módulos transformados. Falta validar el artefacto servido y headers.</x:v>
      </x:c>
      <x:c r="I33" s="25" t="str">
        <x:v>Añadir headers de seguridad y verificación del artefacto servido.</x:v>
      </x:c>
      <x:c r="J33" s="16" t="n">
        <x:f>E33*F33</x:f>
        <x:v>0.95</x:v>
      </x:c>
    </x:row>
    <x:row r="34">
      <x:c r="A34" s="14" t="str">
        <x:v>O05</x:v>
      </x:c>
      <x:c r="B34" s="2" t="str">
        <x:v>DevOps/Docker</x:v>
      </x:c>
      <x:c r="C34" s="2" t="str">
        <x:v>Makefile, .env.example y certificados locales</x:v>
      </x:c>
      <x:c r="D34" s="2" t="str">
        <x:v>Parcial</x:v>
      </x:c>
      <x:c r="E34" s="11" t="n">
        <x:v>0.8</x:v>
      </x:c>
      <x:c r="F34" s="2" t="n">
        <x:v>1</x:v>
      </x:c>
      <x:c r="G34" s="25" t="str">
        <x:v>Makefile; .env.example; scripts/create_env</x:v>
      </x:c>
      <x:c r="H34" s="25" t="str">
        <x:v>Hay comandos reproducibles y generación de certificado local.</x:v>
      </x:c>
      <x:c r="I34" s="25" t="str">
        <x:v>Separar configuración dev/prod y añadir validación de secretos obligatorios.</x:v>
      </x:c>
      <x:c r="J34" s="16" t="n">
        <x:f>E34*F34</x:f>
        <x:v>0.8</x:v>
      </x:c>
    </x:row>
    <x:row r="35">
      <x:c r="A35" s="14" t="str">
        <x:v>O06</x:v>
      </x:c>
      <x:c r="B35" s="2" t="str">
        <x:v>DevOps/Docker</x:v>
      </x:c>
      <x:c r="C35" s="2" t="str">
        <x:v>Simulador como servicio integrado</x:v>
      </x:c>
      <x:c r="D35" s="2" t="str">
        <x:v>Pendiente</x:v>
      </x:c>
      <x:c r="E35" s="11" t="n">
        <x:v>0</x:v>
      </x:c>
      <x:c r="F35" s="2" t="n">
        <x:v>1</x:v>
      </x:c>
      <x:c r="G35" s="25" t="str">
        <x:v>simulator/Dockerfile; simulator/app/main.py; GH #16 y #69</x:v>
      </x:c>
      <x:c r="H35" s="25" t="str">
        <x:v>El Dockerfile, requirements y app siguen siendo scaffolding/comentarios. No existe proceso ejecutable de generación y POST.</x:v>
      </x:c>
      <x:c r="I35" s="25" t="str">
        <x:v>Implementar cliente HTTP, escenarios, seed reproducible, health y retry.</x:v>
      </x:c>
      <x:c r="J35" s="16" t="n">
        <x:f>E35*F35</x:f>
        <x:v>0</x:v>
      </x:c>
    </x:row>
    <x:row r="36">
      <x:c r="A36" s="14" t="str">
        <x:v>O07</x:v>
      </x:c>
      <x:c r="B36" s="2" t="str">
        <x:v>DevOps/Docker</x:v>
      </x:c>
      <x:c r="C36" s="2" t="str">
        <x:v>CI/CD automatizado</x:v>
      </x:c>
      <x:c r="D36" s="2" t="str">
        <x:v>Pendiente</x:v>
      </x:c>
      <x:c r="E36" s="11" t="n">
        <x:v>0.15</x:v>
      </x:c>
      <x:c r="F36" s="2" t="n">
        <x:v>1</x:v>
      </x:c>
      <x:c r="G36" s="25" t="str">
        <x:v>.github/workflows/readme-check.yml</x:v>
      </x:c>
      <x:c r="H36" s="25" t="str">
        <x:v>Solo existe un workflow de validación de README; no hay build, tests, lint ni deploy.</x:v>
      </x:c>
      <x:c r="I36" s="25" t="str">
        <x:v>Añadir pipeline para frontend, backend, Compose smoke y artefactos.</x:v>
      </x:c>
      <x:c r="J36" s="16" t="n">
        <x:f>E36*F36</x:f>
        <x:v>0.15</x:v>
      </x:c>
    </x:row>
    <x:row r="37">
      <x:c r="A37" s="14" t="str">
        <x:v>O08</x:v>
      </x:c>
      <x:c r="B37" s="2" t="str">
        <x:v>DevOps/Docker</x:v>
      </x:c>
      <x:c r="C37" s="2" t="str">
        <x:v>Hardening, observabilidad, backups y producción</x:v>
      </x:c>
      <x:c r="D37" s="2" t="str">
        <x:v>Pendiente</x:v>
      </x:c>
      <x:c r="E37" s="11" t="n">
        <x:v>0.2</x:v>
      </x:c>
      <x:c r="F37" s="2" t="n">
        <x:v>1</x:v>
      </x:c>
      <x:c r="G37" s="25" t="str">
        <x:v>README.md; compose.yaml; gateway/nginx.conf</x:v>
      </x:c>
      <x:c r="H37" s="25" t="str">
        <x:v>Hay algunas salvaguardas de entorno, pero no hay métricas, backup, rotación, rate limit ni despliegue real.</x:v>
      </x:c>
      <x:c r="I37" s="25" t="str">
        <x:v>Definir entorno productivo, logs, backup PostgreSQL, alertas operativas y gestión TLS.</x:v>
      </x:c>
      <x:c r="J37" s="16" t="n">
        <x:f>E37*F37</x:f>
        <x:v>0.2</x:v>
      </x:c>
    </x:row>
    <x:row r="38">
      <x:c r="A38" s="14" t="str">
        <x:v>Q01</x:v>
      </x:c>
      <x:c r="B38" s="2" t="str">
        <x:v>QA/Tests</x:v>
      </x:c>
      <x:c r="C38" s="2" t="str">
        <x:v>Suite backend existente</x:v>
      </x:c>
      <x:c r="D38" s="2" t="str">
        <x:v>Parcial</x:v>
      </x:c>
      <x:c r="E38" s="11" t="n">
        <x:v>0.7</x:v>
      </x:c>
      <x:c r="F38" s="2" t="n">
        <x:v>1</x:v>
      </x:c>
      <x:c r="G38" s="25" t="str">
        <x:v>backend/tests; GH #30</x:v>
      </x:c>
      <x:c r="H38" s="25" t="str">
        <x:v>La suite creció con auth, histórico y alertas, pero no se pudo ejecutar en esta sesión porque pytest no está instalado en .venv.</x:v>
      </x:c>
      <x:c r="I38" s="25" t="str">
        <x:v>Instalar requirements-dev en CI y ejecutar la suite en PostgreSQL limpio.</x:v>
      </x:c>
      <x:c r="J38" s="16" t="n">
        <x:f>E38*F38</x:f>
        <x:v>0.7</x:v>
      </x:c>
    </x:row>
    <x:row r="39">
      <x:c r="A39" s="14" t="str">
        <x:v>Q02</x:v>
      </x:c>
      <x:c r="B39" s="2" t="str">
        <x:v>QA/Tests</x:v>
      </x:c>
      <x:c r="C39" s="2" t="str">
        <x:v>Cobertura de endpoints críticos</x:v>
      </x:c>
      <x:c r="D39" s="2" t="str">
        <x:v>Parcial</x:v>
      </x:c>
      <x:c r="E39" s="11" t="n">
        <x:v>0.55</x:v>
      </x:c>
      <x:c r="F39" s="2" t="n">
        <x:v>1</x:v>
      </x:c>
      <x:c r="G39" s="25" t="str">
        <x:v>backend/tests; GH #30</x:v>
      </x:c>
      <x:c r="H39" s="25" t="str">
        <x:v>Hay pruebas de auth base, readings, histórico y alertas. Faltan rutas reales de users, sites, sensors, roles y reglas automáticas.</x:v>
      </x:c>
      <x:c r="I39" s="25" t="str">
        <x:v>Completar matriz HTTP con códigos, errores, aislamiento y reglas.</x:v>
      </x:c>
      <x:c r="J39" s="16" t="n">
        <x:f>E39*F39</x:f>
        <x:v>0.55</x:v>
      </x:c>
    </x:row>
    <x:row r="40">
      <x:c r="A40" s="14" t="str">
        <x:v>Q03</x:v>
      </x:c>
      <x:c r="B40" s="2" t="str">
        <x:v>QA/Tests</x:v>
      </x:c>
      <x:c r="C40" s="2" t="str">
        <x:v>Tests unitarios frontend</x:v>
      </x:c>
      <x:c r="D40" s="2" t="str">
        <x:v>Pendiente</x:v>
      </x:c>
      <x:c r="E40" s="11" t="n">
        <x:v>0</x:v>
      </x:c>
      <x:c r="F40" s="2" t="n">
        <x:v>1</x:v>
      </x:c>
      <x:c r="G40" s="25" t="str">
        <x:v>frontend/tests/.gitkeep; npm test -- --run</x:v>
      </x:c>
      <x:c r="H40" s="25" t="str">
        <x:v>Vitest termina sin tests encontrados.</x:v>
      </x:c>
      <x:c r="I40" s="25" t="str">
        <x:v>Añadir tests de stores, adapters, mappers y componentes de estados.</x:v>
      </x:c>
      <x:c r="J40" s="16" t="n">
        <x:f>E40*F40</x:f>
        <x:v>0</x:v>
      </x:c>
    </x:row>
    <x:row r="41">
      <x:c r="A41" s="14" t="str">
        <x:v>Q04</x:v>
      </x:c>
      <x:c r="B41" s="2" t="str">
        <x:v>QA/Tests</x:v>
      </x:c>
      <x:c r="C41" s="2" t="str">
        <x:v>Lint y formato frontend</x:v>
      </x:c>
      <x:c r="D41" s="2" t="str">
        <x:v>Pendiente</x:v>
      </x:c>
      <x:c r="E41" s="11" t="n">
        <x:v>0.2</x:v>
      </x:c>
      <x:c r="F41" s="2" t="n">
        <x:v>1</x:v>
      </x:c>
      <x:c r="G41" s="25" t="str">
        <x:v>frontend/package.json; npm run lint</x:v>
      </x:c>
      <x:c r="H41" s="25" t="str">
        <x:v>El script existe, pero falta configuración ESLint.</x:v>
      </x:c>
      <x:c r="I41" s="25" t="str">
        <x:v>Añadir config, reglas Vue y ejecutar lint/prettier en CI.</x:v>
      </x:c>
      <x:c r="J41" s="16" t="n">
        <x:f>E41*F41</x:f>
        <x:v>0.2</x:v>
      </x:c>
    </x:row>
    <x:row r="42">
      <x:c r="A42" s="14" t="str">
        <x:v>Q05</x:v>
      </x:c>
      <x:c r="B42" s="2" t="str">
        <x:v>QA/Tests</x:v>
      </x:c>
      <x:c r="C42" s="2" t="str">
        <x:v>E2E de autenticación y navegación</x:v>
      </x:c>
      <x:c r="D42" s="2" t="str">
        <x:v>Pendiente</x:v>
      </x:c>
      <x:c r="E42" s="11" t="n">
        <x:v>0</x:v>
      </x:c>
      <x:c r="F42" s="2" t="n">
        <x:v>1</x:v>
      </x:c>
      <x:c r="G42" s="25" t="str">
        <x:v>docs/ana/11-e2e-auth-navigation</x:v>
      </x:c>
      <x:c r="H42" s="25" t="str">
        <x:v>La documentación describe el objetivo, pero no hay tests E2E en el repositorio.</x:v>
      </x:c>
      <x:c r="I42" s="25" t="str">
        <x:v>Añadir Playwright/Cypress y flujo Chrome login→dashboard→logout.</x:v>
      </x:c>
      <x:c r="J42" s="16" t="n">
        <x:f>E42*F42</x:f>
        <x:v>0</x:v>
      </x:c>
    </x:row>
    <x:row r="43">
      <x:c r="A43" s="14" t="str">
        <x:v>Q06</x:v>
      </x:c>
      <x:c r="B43" s="2" t="str">
        <x:v>QA/Tests</x:v>
      </x:c>
      <x:c r="C43" s="2" t="str">
        <x:v>Smoke test de stack y persistencia</x:v>
      </x:c>
      <x:c r="D43" s="2" t="str">
        <x:v>Parcial</x:v>
      </x:c>
      <x:c r="E43" s="11" t="n">
        <x:v>0.2</x:v>
      </x:c>
      <x:c r="F43" s="2" t="n">
        <x:v>1</x:v>
      </x:c>
      <x:c r="G43" s="25" t="str">
        <x:v>docs/eduardo/11-health-smoke; compose.yaml</x:v>
      </x:c>
      <x:c r="H43" s="25" t="str">
        <x:v>Hay healthchecks y documentación, pero no se ejecutó el recorrido completo en esta sesión.</x:v>
      </x:c>
      <x:c r="I43" s="25" t="str">
        <x:v>Automatizar health, POST reading, consulta DB y gateway en CI.</x:v>
      </x:c>
      <x:c r="J43" s="16" t="n">
        <x:f>E43*F43</x:f>
        <x:v>0.2</x:v>
      </x:c>
    </x:row>
    <x:row r="44">
      <x:c r="A44" s="14" t="str">
        <x:v>M01</x:v>
      </x:c>
      <x:c r="B44" s="2" t="str">
        <x:v>Documentación</x:v>
      </x:c>
      <x:c r="C44" s="2" t="str">
        <x:v>README y runbook de desarrollo</x:v>
      </x:c>
      <x:c r="D44" s="2" t="str">
        <x:v>Parcial</x:v>
      </x:c>
      <x:c r="E44" s="11" t="n">
        <x:v>0.7</x:v>
      </x:c>
      <x:c r="F44" s="2" t="n">
        <x:v>1</x:v>
      </x:c>
      <x:c r="G44" s="25" t="str">
        <x:v>README.md; backend/README.md; GH #69</x:v>
      </x:c>
      <x:c r="H44" s="25" t="str">
        <x:v>El README mejoró con las últimas PR, pero #69 aún identifica limitaciones y cabos sueltos de migraciones, simulador y wiring.</x:v>
      </x:c>
      <x:c r="I44" s="25" t="str">
        <x:v>Sincronizar estado real, comandos, tabla de features y discrepancias verificadas.</x:v>
      </x:c>
      <x:c r="J44" s="16" t="n">
        <x:f>E44*F44</x:f>
        <x:v>0.7</x:v>
      </x:c>
    </x:row>
    <x:row r="45">
      <x:c r="A45" s="14" t="str">
        <x:v>M02</x:v>
      </x:c>
      <x:c r="B45" s="2" t="str">
        <x:v>Documentación</x:v>
      </x:c>
      <x:c r="C45" s="2" t="str">
        <x:v>Notas de implementación por issue</x:v>
      </x:c>
      <x:c r="D45" s="2" t="str">
        <x:v>Implementado</x:v>
      </x:c>
      <x:c r="E45" s="11" t="n">
        <x:v>0.8</x:v>
      </x:c>
      <x:c r="F45" s="2" t="n">
        <x:v>1</x:v>
      </x:c>
      <x:c r="G45" s="25" t="str">
        <x:v>docs/{ana,daruny,eduardo,florinda,lylia}</x:v>
      </x:c>
      <x:c r="H45" s="25" t="str">
        <x:v>Existe documentación extensa de diseño e implementación por equipo/issue.</x:v>
      </x:c>
      <x:c r="I45" s="25" t="str">
        <x:v>Añadir evidencia ejecutable y enlazar cada criterio a tests o comandos.</x:v>
      </x:c>
      <x:c r="J45" s="16" t="n">
        <x:f>E45*F45</x:f>
        <x:v>0.8</x:v>
      </x:c>
    </x:row>
    <x:row r="46">
      <x:c r="A46" s="14" t="str">
        <x:v>M03</x:v>
      </x:c>
      <x:c r="B46" s="2" t="str">
        <x:v>Documentación</x:v>
      </x:c>
      <x:c r="C46" s="2" t="str">
        <x:v>Arquitectura y contrato API consolidado</x:v>
      </x:c>
      <x:c r="D46" s="2" t="str">
        <x:v>Pendiente</x:v>
      </x:c>
      <x:c r="E46" s="11" t="n">
        <x:v>0.15</x:v>
      </x:c>
      <x:c r="F46" s="2" t="n">
        <x:v>1</x:v>
      </x:c>
      <x:c r="G46" s="25" t="str">
        <x:v>docs/architecture.md; docs/api.md</x:v>
      </x:c>
      <x:c r="H46" s="25" t="str">
        <x:v>Ambos documentos principales siguen siendo placeholders.</x:v>
      </x:c>
      <x:c r="I46" s="25" t="str">
        <x:v>Publicar diagrama actualizado, endpoints, errores, auth, paginación y WS.</x:v>
      </x:c>
      <x:c r="J46" s="16" t="n">
        <x:f>E46*F46</x:f>
        <x:v>0.15</x:v>
      </x:c>
    </x:row>
    <x:row r="47">
      <x:c r="A47" s="14" t="str">
        <x:v>M04</x:v>
      </x:c>
      <x:c r="B47" s="2" t="str">
        <x:v>Documentación</x:v>
      </x:c>
      <x:c r="C47" s="2" t="str">
        <x:v>ADRs y decisiones técnicas</x:v>
      </x:c>
      <x:c r="D47" s="2" t="str">
        <x:v>Parcial</x:v>
      </x:c>
      <x:c r="E47" s="11" t="n">
        <x:v>0.75</x:v>
      </x:c>
      <x:c r="F47" s="2" t="n">
        <x:v>1</x:v>
      </x:c>
      <x:c r="G47" s="25" t="str">
        <x:v>docs/decisions</x:v>
      </x:c>
      <x:c r="H47" s="25" t="str">
        <x:v>Hay ADRs sobre cookie, UUID y landing; algunos estados requieren actualización/acuerdo.</x:v>
      </x:c>
      <x:c r="I47" s="25" t="str">
        <x:v>Cerrar decisiones pendientes y enlazar sus consecuencias al código.</x:v>
      </x:c>
      <x:c r="J47" s="16" t="n">
        <x:f>E47*F47</x:f>
        <x:v>0.75</x:v>
      </x:c>
    </x:row>
    <x:row r="48">
      <x:c r="A48" s="17" t="str">
        <x:v>M05</x:v>
      </x:c>
      <x:c r="B48" s="20" t="str">
        <x:v>Documentación</x:v>
      </x:c>
      <x:c r="C48" s="20" t="str">
        <x:v>Tabla de progreso y verificación mantenida</x:v>
      </x:c>
      <x:c r="D48" s="20" t="str">
        <x:v>Parcial</x:v>
      </x:c>
      <x:c r="E48" s="34" t="n">
        <x:v>0.55</x:v>
      </x:c>
      <x:c r="F48" s="20" t="n">
        <x:v>1</x:v>
      </x:c>
      <x:c r="G48" s="28" t="str">
        <x:v>README.md; docs/*/05-verificacion.md</x:v>
      </x:c>
      <x:c r="H48" s="28" t="str">
        <x:v>Existe tabla de features, pero no refleja todas las rutas vacías y el estado ejecutable.</x:v>
      </x:c>
      <x:c r="I48" s="28" t="str">
        <x:v>Adoptar este informe como revisión por PR o actualizarlo automáticamente.</x:v>
      </x:c>
      <x:c r="J48" s="21" t="n">
        <x:f>E48*F48</x:f>
        <x:v>0.55</x:v>
      </x:c>
    </x:row>
  </x:sheetData>
  <x:conditionalFormatting sqref="D2:D48">
    <x:cfRule type="containsText" dxfId="0" priority="1" operator="containsText" text="Implementado"/>
    <x:cfRule type="containsText" dxfId="1" priority="2" operator="containsText" text="Parcial"/>
    <x:cfRule type="containsText" dxfId="2" priority="3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ccbd5ad7b66b40d8"/>
  </x:tableParts>
</x:worksheet>
</file>

<file path=xl/worksheets/sheet3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62" hidden="0" customWidth="1"/>
    <x:col min="4" max="4" width="18" hidden="0" customWidth="1"/>
  </x:cols>
  <x:sheetData>
    <x:row r="1">
      <x:c r="A1" s="31" t="str">
        <x:v>Control</x:v>
      </x:c>
      <x:c r="B1" s="32" t="str">
        <x:v>Método/evidencia</x:v>
      </x:c>
      <x:c r="C1" s="32" t="str">
        <x:v>Resultado</x:v>
      </x:c>
      <x:c r="D1" s="33" t="str">
        <x:v>Clasificación</x:v>
      </x:c>
    </x:row>
    <x:row r="2">
      <x:c r="A2" s="14" t="str">
        <x:v>Build frontend</x:v>
      </x:c>
      <x:c r="B2" s="25" t="str">
        <x:v>npm run build</x:v>
      </x:c>
      <x:c r="C2" s="25" t="str">
        <x:v>OK: Vite transforma 116 módulos y genera dist.</x:v>
      </x:c>
      <x:c r="D2" s="15" t="str">
        <x:v>Verificado</x:v>
      </x:c>
    </x:row>
    <x:row r="3">
      <x:c r="A3" s="14" t="str">
        <x:v>Tests frontend</x:v>
      </x:c>
      <x:c r="B3" s="25" t="str">
        <x:v>npm test -- --run</x:v>
      </x:c>
      <x:c r="C3" s="25" t="str">
        <x:v>Sin tests encontrados: Vitest termina con código 1.</x:v>
      </x:c>
      <x:c r="D3" s="15" t="str">
        <x:v>Pendiente</x:v>
      </x:c>
    </x:row>
    <x:row r="4">
      <x:c r="A4" s="14" t="str">
        <x:v>Lint frontend</x:v>
      </x:c>
      <x:c r="B4" s="25" t="str">
        <x:v>npm run lint</x:v>
      </x:c>
      <x:c r="C4" s="25" t="str">
        <x:v>Falla: no existe configuración ESLint.</x:v>
      </x:c>
      <x:c r="D4" s="15" t="str">
        <x:v>Bloqueado</x:v>
      </x:c>
    </x:row>
    <x:row r="5">
      <x:c r="A5" s="14" t="str">
        <x:v>Compose</x:v>
      </x:c>
      <x:c r="B5" s="25" t="str">
        <x:v>docker compose config --quiet</x:v>
      </x:c>
      <x:c r="C5" s="25" t="str">
        <x:v>OK: configuración Compose válida.</x:v>
      </x:c>
      <x:c r="D5" s="15" t="str">
        <x:v>Verificado</x:v>
      </x:c>
    </x:row>
    <x:row r="6">
      <x:c r="A6" s="14" t="str">
        <x:v>Tests backend</x:v>
      </x:c>
      <x:c r="B6" s="25" t="str">
        <x:v>../.venv/bin/python -m pytest -q</x:v>
      </x:c>
      <x:c r="C6" s="25" t="str">
        <x:v>No verificable: pytest no está instalado en .venv.</x:v>
      </x:c>
      <x:c r="D6" s="15" t="str">
        <x:v>No verificable</x:v>
      </x:c>
    </x:row>
    <x:row r="7">
      <x:c r="A7" s="14" t="str">
        <x:v>Rutas backend</x:v>
      </x:c>
      <x:c r="B7" s="25" t="str">
        <x:v>Inspección de routers y services en develop 7a32040</x:v>
      </x:c>
      <x:c r="C7" s="25" t="str">
        <x:v>Health, logout, POST readings, histórico y endpoints de alertas existen. Users, sites y sensors siguen sin rutas/lógica completas; auth service conserva 501.</x:v>
      </x:c>
      <x:c r="D7" s="15" t="str">
        <x:v>Hallazgo</x:v>
      </x:c>
    </x:row>
    <x:row r="8">
      <x:c r="A8" s="14" t="str">
        <x:v>Migraciones</x:v>
      </x:c>
      <x:c r="B8" s="25" t="str">
        <x:v>Inspección de migrations/versions y entrypoint</x:v>
      </x:c>
      <x:c r="C8" s="25" t="str">
        <x:v>La cadena y upgrade head existen. #69 sigue abierta por redundancias, README, .dockerignore y wiring de readings.</x:v>
      </x:c>
      <x:c r="D8" s="15" t="str">
        <x:v>Parcial</x:v>
      </x:c>
    </x:row>
    <x:row r="9">
      <x:c r="A9" s="14" t="str">
        <x:v>Simulador</x:v>
      </x:c>
      <x:c r="B9" s="25" t="str">
        <x:v>Inspección de simulator/app y Dockerfile; GH #16/#69</x:v>
      </x:c>
      <x:c r="C9" s="25" t="str">
        <x:v>Los archivos siguen como scaffolding/comentarios; no hay proceso ejecutable.</x:v>
      </x:c>
      <x:c r="D9" s="15" t="str">
        <x:v>Pendiente</x:v>
      </x:c>
    </x:row>
    <x:row r="10">
      <x:c r="A10" s="14" t="str">
        <x:v>CI</x:v>
      </x:c>
      <x:c r="B10" s="25" t="str">
        <x:v>Inspección de .github/workflows</x:v>
      </x:c>
      <x:c r="C10" s="25" t="str">
        <x:v>Solo readme-check.yml; no hay pipeline de build/test/deploy.</x:v>
      </x:c>
      <x:c r="D10" s="15" t="str">
        <x:v>Pendiente</x:v>
      </x:c>
    </x:row>
    <x:row r="11">
      <x:c r="A11" s="17" t="str">
        <x:v>GitHub/develop</x:v>
      </x:c>
      <x:c r="B11" s="28" t="str">
        <x:v>SHA remoto de refs/heads/develop</x:v>
      </x:c>
      <x:c r="C11" s="28" t="str">
        <x:v>7a320405d17454bbbf2a9f65b030648da44d9c91. GitHub consultado el 27/09/2026; gh local no está autenticado.</x:v>
      </x:c>
      <x:c r="D11" s="18" t="str">
        <x:v>Verificado</x:v>
      </x:c>
    </x:row>
  </x:sheetData>
  <x:pageMargins left="0.7" right="0.7" top="0.75" bottom="0.75" header="0.3" footer="0.3"/>
  <x:tableParts count="1">
    <x:tablePart xmlns:r="http://schemas.openxmlformats.org/officeDocument/2006/relationships" r:id="Rf50ce5624abb4839"/>
  </x:tableParts>
</x:worksheet>
</file>

<file path=xl/worksheets/sheet4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48" hidden="0" customWidth="1"/>
    <x:col min="5" max="5" width="48" hidden="0" customWidth="1"/>
    <x:col min="6" max="6" width="32" hidden="0" customWidth="1"/>
    <x:col min="7" max="7" width="22" hidden="0" customWidth="1"/>
  </x:cols>
  <x:sheetData>
    <x:row r="1">
      <x:c r="A1" s="31" t="str">
        <x:v>Prioridad</x:v>
      </x:c>
      <x:c r="B1" s="32" t="str">
        <x:v>Área</x:v>
      </x:c>
      <x:c r="C1" s="32" t="str">
        <x:v>Tarea futura</x:v>
      </x:c>
      <x:c r="D1" s="32" t="str">
        <x:v>Por qué falta</x:v>
      </x:c>
      <x:c r="E1" s="32" t="str">
        <x:v>Criterio de aceptación</x:v>
      </x:c>
      <x:c r="F1" s="32" t="str">
        <x:v>Dependencias</x:v>
      </x:c>
      <x:c r="G1" s="33" t="str">
        <x:v>Responsable sugerido</x:v>
      </x:c>
    </x:row>
    <x:row r="2">
      <x:c r="A2" s="14" t="str">
        <x:v>P0</x:v>
      </x:c>
      <x:c r="B2" s="2" t="str">
        <x:v>Backend</x:v>
      </x:c>
      <x:c r="C2" s="25" t="str">
        <x:v>Resolver discrepancia de autenticación #26</x:v>
      </x:c>
      <x:c r="D2" s="25" t="str">
        <x:v>GitHub la marca cerrada, pero develop conserva register/login/get_me en 501 y no declara /api/me.</x:v>
      </x:c>
      <x:c r="E2" s="25" t="str">
        <x:v>Register, login, cookie, /me, logout, errores y tests HTTP realmente verdes.</x:v>
      </x:c>
      <x:c r="F2" s="25" t="str">
        <x:v>Modelo User + repositories</x:v>
      </x:c>
      <x:c r="G2" s="15" t="str">
        <x:v>Backend</x:v>
      </x:c>
    </x:row>
    <x:row r="3">
      <x:c r="A3" s="14" t="str">
        <x:v>P0</x:v>
      </x:c>
      <x:c r="B3" s="2" t="str">
        <x:v>Backend</x:v>
      </x:c>
      <x:c r="C3" s="25" t="str">
        <x:v>Implementar permisos y aislamiento #27</x:v>
      </x:c>
      <x:c r="D3" s="25" t="str">
        <x:v>Los filtros parciales existen, pero require_role sigue sin implementación.</x:v>
      </x:c>
      <x:c r="E3" s="25" t="str">
        <x:v>Matriz admin/client, 401/403, organization scope y pruebas de aislamiento.</x:v>
      </x:c>
      <x:c r="F3" s="25" t="str">
        <x:v>Auth funcional</x:v>
      </x:c>
      <x:c r="G3" s="15" t="str">
        <x:v>Backend</x:v>
      </x:c>
    </x:row>
    <x:row r="4">
      <x:c r="A4" s="14" t="str">
        <x:v>P0</x:v>
      </x:c>
      <x:c r="B4" s="2" t="str">
        <x:v>Backend</x:v>
      </x:c>
      <x:c r="C4" s="25" t="str">
        <x:v>Implementar sites y sensors CRUD #29</x:v>
      </x:c>
      <x:c r="D4" s="25" t="str">
        <x:v>Los dashboards no pueden consumir datos reales.</x:v>
      </x:c>
      <x:c r="E4" s="25" t="str">
        <x:v>GET/list/detail/create/update con aislamiento por organización.</x:v>
      </x:c>
      <x:c r="F4" s="25" t="str">
        <x:v>Models + repositories + permisos</x:v>
      </x:c>
      <x:c r="G4" s="15" t="str">
        <x:v>Backend</x:v>
      </x:c>
    </x:row>
    <x:row r="5">
      <x:c r="A5" s="14" t="str">
        <x:v>P0</x:v>
      </x:c>
      <x:c r="B5" s="2" t="str">
        <x:v>Backend</x:v>
      </x:c>
      <x:c r="C5" s="25" t="str">
        <x:v>Completar reglas de alertas #28</x:v>
      </x:c>
      <x:c r="D5" s="25" t="str">
        <x:v>Los endpoints de ciclo de vida están, pero no se generan alertas desde lecturas.</x:v>
      </x:c>
      <x:c r="E5" s="25" t="str">
        <x:v>LOW/HIGH/OFFLINE, deduplicación, acknowledge, resolve y tests.</x:v>
      </x:c>
      <x:c r="F5" s="25" t="str">
        <x:v>ReadingService + sensor thresholds</x:v>
      </x:c>
      <x:c r="G5" s="15" t="str">
        <x:v>Backend</x:v>
      </x:c>
    </x:row>
    <x:row r="6">
      <x:c r="A6" s="14" t="str">
        <x:v>P0</x:v>
      </x:c>
      <x:c r="B6" s="2" t="str">
        <x:v>Frontend</x:v>
      </x:c>
      <x:c r="C6" s="25" t="str">
        <x:v>Completar login, registro y guards #35/#36</x:v>
      </x:c>
      <x:c r="D6" s="25" t="str">
        <x:v>Las vistas actuales son stubs y las rutas no están registradas.</x:v>
      </x:c>
      <x:c r="E6" s="25" t="str">
        <x:v>Views funcionales, persistencia de sesión, roles y redirecciones.</x:v>
      </x:c>
      <x:c r="F6" s="25" t="str">
        <x:v>Backend auth</x:v>
      </x:c>
      <x:c r="G6" s="15" t="str">
        <x:v>Frontend</x:v>
      </x:c>
    </x:row>
    <x:row r="7">
      <x:c r="A7" s="14" t="str">
        <x:v>P0</x:v>
      </x:c>
      <x:c r="B7" s="2" t="str">
        <x:v>Frontend</x:v>
      </x:c>
      <x:c r="C7" s="25" t="str">
        <x:v>Construir dashboards admin/client #7/#38/#39</x:v>
      </x:c>
      <x:c r="D7" s="25" t="str">
        <x:v>Las vistas actuales no tienen template ni flujo de datos.</x:v>
      </x:c>
      <x:c r="E7" s="25" t="str">
        <x:v>KPIs, sensores, alertas, estados loading/error/empty y tenant.</x:v>
      </x:c>
      <x:c r="F7" s="25" t="str">
        <x:v>Sites/sensors/alerts APIs</x:v>
      </x:c>
      <x:c r="G7" s="15" t="str">
        <x:v>Frontend</x:v>
      </x:c>
    </x:row>
    <x:row r="8">
      <x:c r="A8" s="14" t="str">
        <x:v>P0</x:v>
      </x:c>
      <x:c r="B8" s="2" t="str">
        <x:v>DevOps/Docker</x:v>
      </x:c>
      <x:c r="C8" s="25" t="str">
        <x:v>Hacer ejecutable el simulador #16</x:v>
      </x:c>
      <x:c r="D8" s="25" t="str">
        <x:v>El productor de lecturas es imprescindible para demostrar el vertical slice.</x:v>
      </x:c>
      <x:c r="E8" s="25" t="str">
        <x:v>HTTP retry, escenarios, seed, intervalo, health y perfil sim operativo.</x:v>
      </x:c>
      <x:c r="F8" s="25" t="str">
        <x:v>POST readings + seed</x:v>
      </x:c>
      <x:c r="G8" s="15" t="str">
        <x:v>Backend/DevOps</x:v>
      </x:c>
    </x:row>
    <x:row r="9">
      <x:c r="A9" s="14" t="str">
        <x:v>P1</x:v>
      </x:c>
      <x:c r="B9" s="2" t="str">
        <x:v>QA/Tests</x:v>
      </x:c>
      <x:c r="C9" s="25" t="str">
        <x:v>Instalar y ejecutar la suite backend en CI</x:v>
      </x:c>
      <x:c r="D9" s="25" t="str">
        <x:v>Actualmente la existencia de tests no equivale a verificación.</x:v>
      </x:c>
      <x:c r="E9" s="25" t="str">
        <x:v>requirements-dev, PostgreSQL, pytest y reporte de resultado.</x:v>
      </x:c>
      <x:c r="F9" s="25" t="str">
        <x:v>Compose</x:v>
      </x:c>
      <x:c r="G9" s="15" t="str">
        <x:v>DevOps/QA</x:v>
      </x:c>
    </x:row>
    <x:row r="10">
      <x:c r="A10" s="14" t="str">
        <x:v>P1</x:v>
      </x:c>
      <x:c r="B10" s="2" t="str">
        <x:v>QA/Tests</x:v>
      </x:c>
      <x:c r="C10" s="25" t="str">
        <x:v>Añadir tests frontend y E2E</x:v>
      </x:c>
      <x:c r="D10" s="25" t="str">
        <x:v>La navegación y stores no tienen regresión automatizada.</x:v>
      </x:c>
      <x:c r="E10" s="25" t="str">
        <x:v>Vitest para stores/adapters y E2E Chrome auth/navigation.</x:v>
      </x:c>
      <x:c r="F10" s="25" t="str">
        <x:v>Auth UI</x:v>
      </x:c>
      <x:c r="G10" s="15" t="str">
        <x:v>Frontend/QA</x:v>
      </x:c>
    </x:row>
    <x:row r="11">
      <x:c r="A11" s="14" t="str">
        <x:v>P1</x:v>
      </x:c>
      <x:c r="B11" s="2" t="str">
        <x:v>Frontend</x:v>
      </x:c>
      <x:c r="C11" s="25" t="str">
        <x:v>Mapa, gráficos y filtros #8/#40</x:v>
      </x:c>
      <x:c r="D11" s="25" t="str">
        <x:v>Leaflet/Chart.js están instalados, pero faltan datos reales y consumo completo.</x:v>
      </x:c>
      <x:c r="E11" s="25" t="str">
        <x:v>Mapa sites, serie histórica, filtros combinados y estados vacíos.</x:v>
      </x:c>
      <x:c r="F11" s="25" t="str">
        <x:v>Dashboards + sites/readings API</x:v>
      </x:c>
      <x:c r="G11" s="15" t="str">
        <x:v>Frontend</x:v>
      </x:c>
    </x:row>
    <x:row r="12">
      <x:c r="A12" s="14" t="str">
        <x:v>P1</x:v>
      </x:c>
      <x:c r="B12" s="2" t="str">
        <x:v>Backend</x:v>
      </x:c>
      <x:c r="C12" s="25" t="str">
        <x:v>Implementar analytics</x:v>
      </x:c>
      <x:c r="D12" s="25" t="str">
        <x:v>No hay KPIs ni agregaciones reales.</x:v>
      </x:c>
      <x:c r="E12" s="25" t="str">
        <x:v>Overview y sensor analytics con rangos, permisos y tests.</x:v>
      </x:c>
      <x:c r="F12" s="25" t="str">
        <x:v>Readings + alerts</x:v>
      </x:c>
      <x:c r="G12" s="15" t="str">
        <x:v>Backend</x:v>
      </x:c>
    </x:row>
    <x:row r="13">
      <x:c r="A13" s="14" t="str">
        <x:v>P1</x:v>
      </x:c>
      <x:c r="B13" s="2" t="str">
        <x:v>Docs</x:v>
      </x:c>
      <x:c r="C13" s="25" t="str">
        <x:v>Actualizar arquitectura/API/README</x:v>
      </x:c>
      <x:c r="D13" s="25" t="str">
        <x:v>La documentación de alto nivel está desfasada.</x:v>
      </x:c>
      <x:c r="E13" s="25" t="str">
        <x:v>Contrato, diagrama, tabla de features y comandos consistentes.</x:v>
      </x:c>
      <x:c r="F13" s="25" t="str">
        <x:v>Estado tras P0</x:v>
      </x:c>
      <x:c r="G13" s="15" t="str">
        <x:v>Equipo</x:v>
      </x:c>
    </x:row>
    <x:row r="14">
      <x:c r="A14" s="14" t="str">
        <x:v>P2</x:v>
      </x:c>
      <x:c r="B14" s="2" t="str">
        <x:v>DevOps/Docker</x:v>
      </x:c>
      <x:c r="C14" s="25" t="str">
        <x:v>Pipeline CI completo</x:v>
      </x:c>
      <x:c r="D14" s="25" t="str">
        <x:v>Solo se valida README.</x:v>
      </x:c>
      <x:c r="E14" s="25" t="str">
        <x:v>Lint, build, backend tests, frontend tests, Compose smoke y artefactos.</x:v>
      </x:c>
      <x:c r="F14" s="25" t="str">
        <x:v>Tests disponibles</x:v>
      </x:c>
      <x:c r="G14" s="15" t="str">
        <x:v>DevOps</x:v>
      </x:c>
    </x:row>
    <x:row r="15">
      <x:c r="A15" s="17" t="str">
        <x:v>P2</x:v>
      </x:c>
      <x:c r="B15" s="20" t="str">
        <x:v>DevOps/Docker</x:v>
      </x:c>
      <x:c r="C15" s="28" t="str">
        <x:v>Hardening y operación</x:v>
      </x:c>
      <x:c r="D15" s="28" t="str">
        <x:v>La base actual es de desarrollo y #21 aún no cierra el smoke test.</x:v>
      </x:c>
      <x:c r="E15" s="28" t="str">
        <x:v>TLS real, secretos, backups, rate limit, logs y métricas.</x:v>
      </x:c>
      <x:c r="F15" s="28" t="str">
        <x:v>Smoke test + despliegue objetivo</x:v>
      </x:c>
      <x:c r="G15" s="18" t="str">
        <x:v>DevOps</x:v>
      </x:c>
    </x:row>
  </x:sheetData>
  <x:pageMargins left="0.7" right="0.7" top="0.75" bottom="0.75" header="0.3" footer="0.3"/>
  <x:tableParts count="1">
    <x:tablePart xmlns:r="http://schemas.openxmlformats.org/officeDocument/2006/relationships" r:id="Rf361b343d98143e6"/>
  </x:tableParts>
</x:worksheet>
</file>

<file path=xl/worksheets/sheet5.xml><?xml version="1.0" encoding="utf-8"?>
<x:worksheet xmlns:x="http://schemas.openxmlformats.org/spreadsheetml/2006/main">
  <x:sheetPr>
    <x:tabColor rgb="FF24292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18" hidden="0" customWidth="1"/>
    <x:col min="5" max="5" width="48" hidden="0" customWidth="1"/>
    <x:col min="6" max="6" width="54" hidden="0" customWidth="1"/>
  </x:cols>
  <x:sheetData>
    <x:row r="1">
      <x:c r="A1" s="31" t="str">
        <x:v>Issue</x:v>
      </x:c>
      <x:c r="B1" s="32" t="str">
        <x:v>Estado GitHub</x:v>
      </x:c>
      <x:c r="C1" s="32" t="str">
        <x:v>Tarea en GitHub</x:v>
      </x:c>
      <x:c r="D1" s="32" t="str">
        <x:v>Coincidencia local</x:v>
      </x:c>
      <x:c r="E1" s="32" t="str">
        <x:v>Lectura para el equipo</x:v>
      </x:c>
      <x:c r="F1" s="33" t="str">
        <x:v>Enlace</x:v>
      </x:c>
    </x:row>
    <x:row r="2">
      <x:c r="A2" s="14" t="n">
        <x:v>1</x:v>
      </x:c>
      <x:c r="B2" s="2" t="str">
        <x:v>Abierta</x:v>
      </x:c>
      <x:c r="C2" s="25" t="str">
        <x:v>DATABASE · Configurar PostgreSQL y SQLAlchemy</x:v>
      </x:c>
      <x:c r="D2" s="25" t="str">
        <x:v>B03/B04</x:v>
      </x:c>
      <x:c r="E2" s="25" t="str">
        <x:v>Duplicada de #11; cerrarla como housekeeping.</x:v>
      </x:c>
      <x:c r="F2" s="26" t="str">
        <x:v>https://github.com/Anagamedina/ft_transcendence/issues/1</x:v>
      </x:c>
    </x:row>
    <x:row r="3">
      <x:c r="A3" s="14" t="n">
        <x:v>2</x:v>
      </x:c>
      <x:c r="B3" s="2" t="str">
        <x:v>Cerrada</x:v>
      </x:c>
      <x:c r="C3" s="25" t="str">
        <x:v>Frontend · Setup Vue/Vite/Router/Tailwind/DaisyUI</x:v>
      </x:c>
      <x:c r="D3" s="25" t="str">
        <x:v>F01</x:v>
      </x:c>
      <x:c r="E3" s="25" t="str">
        <x:v>Entregada.</x:v>
      </x:c>
      <x:c r="F3" s="26" t="str">
        <x:v>https://github.com/Anagamedina/ft_transcendence/issues/2</x:v>
      </x:c>
    </x:row>
    <x:row r="4">
      <x:c r="A4" s="14" t="n">
        <x:v>3</x:v>
      </x:c>
      <x:c r="B4" s="2" t="str">
        <x:v>Cerrada</x:v>
      </x:c>
      <x:c r="C4" s="25" t="str">
        <x:v>Frontend · Layout y componentes compartidos</x:v>
      </x:c>
      <x:c r="D4" s="25" t="str">
        <x:v>F02</x:v>
      </x:c>
      <x:c r="E4" s="25" t="str">
        <x:v>Entregada; queda integración de estados en #37.</x:v>
      </x:c>
      <x:c r="F4" s="26" t="str">
        <x:v>https://github.com/Anagamedina/ft_transcendence/issues/3</x:v>
      </x:c>
    </x:row>
    <x:row r="5">
      <x:c r="A5" s="14" t="n">
        <x:v>4</x:v>
      </x:c>
      <x:c r="B5" s="2" t="str">
        <x:v>Cerrada</x:v>
      </x:c>
      <x:c r="C5" s="25" t="str">
        <x:v>Frontend · SensorCard y detalle visual</x:v>
      </x:c>
      <x:c r="D5" s="25" t="str">
        <x:v>F08</x:v>
      </x:c>
      <x:c r="E5" s="25" t="str">
        <x:v>Entregada; queda histórico real en #40.</x:v>
      </x:c>
      <x:c r="F5" s="26" t="str">
        <x:v>https://github.com/Anagamedina/ft_transcendence/issues/4</x:v>
      </x:c>
    </x:row>
    <x:row r="6">
      <x:c r="A6" s="14" t="n">
        <x:v>5</x:v>
      </x:c>
      <x:c r="B6" s="2" t="str">
        <x:v>Cerrada</x:v>
      </x:c>
      <x:c r="C6" s="25" t="str">
        <x:v>Frontend · Landing pública</x:v>
      </x:c>
      <x:c r="D6" s="25" t="str">
        <x:v>F03</x:v>
      </x:c>
      <x:c r="E6" s="25" t="str">
        <x:v>Entregada.</x:v>
      </x:c>
      <x:c r="F6" s="26" t="str">
        <x:v>https://github.com/Anagamedina/ft_transcendence/issues/5</x:v>
      </x:c>
    </x:row>
    <x:row r="7">
      <x:c r="A7" s="14" t="n">
        <x:v>6</x:v>
      </x:c>
      <x:c r="B7" s="2" t="str">
        <x:v>Cerrada</x:v>
      </x:c>
      <x:c r="C7" s="25" t="str">
        <x:v>Frontend · Privacy Policy y Terms</x:v>
      </x:c>
      <x:c r="D7" s="25" t="str">
        <x:v>F04</x:v>
      </x:c>
      <x:c r="E7" s="25" t="str">
        <x:v>Entregada.</x:v>
      </x:c>
      <x:c r="F7" s="26" t="str">
        <x:v>https://github.com/Anagamedina/ft_transcendence/issues/6</x:v>
      </x:c>
    </x:row>
    <x:row r="8">
      <x:c r="A8" s="14" t="n">
        <x:v>7</x:v>
      </x:c>
      <x:c r="B8" s="2" t="str">
        <x:v>Abierta</x:v>
      </x:c>
      <x:c r="C8" s="25" t="str">
        <x:v>Frontend · Estructura Dashboard Admin</x:v>
      </x:c>
      <x:c r="D8" s="25" t="str">
        <x:v>F11</x:v>
      </x:c>
      <x:c r="E8" s="25" t="str">
        <x:v>Pendiente de implementación.</x:v>
      </x:c>
      <x:c r="F8" s="26" t="str">
        <x:v>https://github.com/Anagamedina/ft_transcendence/issues/7</x:v>
      </x:c>
    </x:row>
    <x:row r="9">
      <x:c r="A9" s="14" t="n">
        <x:v>8</x:v>
      </x:c>
      <x:c r="B9" s="2" t="str">
        <x:v>Abierta</x:v>
      </x:c>
      <x:c r="C9" s="25" t="str">
        <x:v>Frontend · Mapa Leaflet</x:v>
      </x:c>
      <x:c r="D9" s="25" t="str">
        <x:v>F12</x:v>
      </x:c>
      <x:c r="E9" s="25" t="str">
        <x:v>Bloqueada por datos de sites y dashboard.</x:v>
      </x:c>
      <x:c r="F9" s="26" t="str">
        <x:v>https://github.com/Anagamedina/ft_transcendence/issues/8</x:v>
      </x:c>
    </x:row>
    <x:row r="10">
      <x:c r="A10" s="14" t="n">
        <x:v>9</x:v>
      </x:c>
      <x:c r="B10" s="2" t="str">
        <x:v>Abierta</x:v>
      </x:c>
      <x:c r="C10" s="25" t="str">
        <x:v>Frontend · Vistas clientes y sites</x:v>
      </x:c>
      <x:c r="D10" s="25" t="str">
        <x:v>F11/F12</x:v>
      </x:c>
      <x:c r="E10" s="25" t="str">
        <x:v>Bloqueada por dashboard y API de sites.</x:v>
      </x:c>
      <x:c r="F10" s="26" t="str">
        <x:v>https://github.com/Anagamedina/ft_transcendence/issues/9</x:v>
      </x:c>
    </x:row>
    <x:row r="11">
      <x:c r="A11" s="14" t="n">
        <x:v>10</x:v>
      </x:c>
      <x:c r="B11" s="2" t="str">
        <x:v>Abierta</x:v>
      </x:c>
      <x:c r="C11" s="25" t="str">
        <x:v>Frontend · Responsive, UX, accesibilidad y consola</x:v>
      </x:c>
      <x:c r="D11" s="25" t="str">
        <x:v>MND-05</x:v>
      </x:c>
      <x:c r="E11" s="25" t="str">
        <x:v>Debe ejecutarse cuando las vistas principales estén integradas.</x:v>
      </x:c>
      <x:c r="F11" s="26" t="str">
        <x:v>https://github.com/Anagamedina/ft_transcendence/issues/10</x:v>
      </x:c>
    </x:row>
    <x:row r="12">
      <x:c r="A12" s="14" t="n">
        <x:v>11</x:v>
      </x:c>
      <x:c r="B12" s="2" t="str">
        <x:v>Cerrada</x:v>
      </x:c>
      <x:c r="C12" s="25" t="str">
        <x:v>DATABASE · PostgreSQL y SQLAlchemy</x:v>
      </x:c>
      <x:c r="D12" s="25" t="str">
        <x:v>B03</x:v>
      </x:c>
      <x:c r="E12" s="25" t="str">
        <x:v>Entregada.</x:v>
      </x:c>
      <x:c r="F12" s="26" t="str">
        <x:v>https://github.com/Anagamedina/ft_transcendence/issues/11</x:v>
      </x:c>
    </x:row>
    <x:row r="13">
      <x:c r="A13" s="14" t="n">
        <x:v>12</x:v>
      </x:c>
      <x:c r="B13" s="2" t="str">
        <x:v>Cerrada</x:v>
      </x:c>
      <x:c r="C13" s="25" t="str">
        <x:v>DATABASE · Alembic y migraciones</x:v>
      </x:c>
      <x:c r="D13" s="25" t="str">
        <x:v>B04/O03</x:v>
      </x:c>
      <x:c r="E13" s="25" t="str">
        <x:v>Base entregada; limpieza adicional en #69.</x:v>
      </x:c>
      <x:c r="F13" s="26" t="str">
        <x:v>https://github.com/Anagamedina/ft_transcendence/issues/12</x:v>
      </x:c>
    </x:row>
    <x:row r="14">
      <x:c r="A14" s="14" t="n">
        <x:v>13</x:v>
      </x:c>
      <x:c r="B14" s="2" t="str">
        <x:v>Cerrada</x:v>
      </x:c>
      <x:c r="C14" s="25" t="str">
        <x:v>DATABASE · Modelos y relaciones</x:v>
      </x:c>
      <x:c r="D14" s="25" t="str">
        <x:v>B03</x:v>
      </x:c>
      <x:c r="E14" s="25" t="str">
        <x:v>Entregada; faltan ajustes de contrato.</x:v>
      </x:c>
      <x:c r="F14" s="26" t="str">
        <x:v>https://github.com/Anagamedina/ft_transcendence/issues/13</x:v>
      </x:c>
    </x:row>
    <x:row r="15">
      <x:c r="A15" s="14" t="n">
        <x:v>14</x:v>
      </x:c>
      <x:c r="B15" s="2" t="str">
        <x:v>Cerrada</x:v>
      </x:c>
      <x:c r="C15" s="25" t="str">
        <x:v>BACKEND · Repositories Sensors y Readings</x:v>
      </x:c>
      <x:c r="D15" s="25" t="str">
        <x:v>B06</x:v>
      </x:c>
      <x:c r="E15" s="25" t="str">
        <x:v>Entregada.</x:v>
      </x:c>
      <x:c r="F15" s="26" t="str">
        <x:v>https://github.com/Anagamedina/ft_transcendence/issues/14</x:v>
      </x:c>
    </x:row>
    <x:row r="16">
      <x:c r="A16" s="14" t="n">
        <x:v>15</x:v>
      </x:c>
      <x:c r="B16" s="2" t="str">
        <x:v>Cerrada</x:v>
      </x:c>
      <x:c r="C16" s="25" t="str">
        <x:v>DATABASE · Seed inicial</x:v>
      </x:c>
      <x:c r="D16" s="25" t="str">
        <x:v>O06</x:v>
      </x:c>
      <x:c r="E16" s="25" t="str">
        <x:v>Entregada; revisar seed global si cambia el contrato.</x:v>
      </x:c>
      <x:c r="F16" s="26" t="str">
        <x:v>https://github.com/Anagamedina/ft_transcendence/issues/15</x:v>
      </x:c>
    </x:row>
    <x:row r="17">
      <x:c r="A17" s="14" t="n">
        <x:v>16</x:v>
      </x:c>
      <x:c r="B17" s="2" t="str">
        <x:v>Abierta</x:v>
      </x:c>
      <x:c r="C17" s="25" t="str">
        <x:v>SIMULATOR · Simulador básico</x:v>
      </x:c>
      <x:c r="D17" s="25" t="str">
        <x:v>O06</x:v>
      </x:c>
      <x:c r="E17" s="25" t="str">
        <x:v>Stub actual; depende de POST readings y seed, ya disponibles.</x:v>
      </x:c>
      <x:c r="F17" s="26" t="str">
        <x:v>https://github.com/Anagamedina/ft_transcendence/issues/16</x:v>
      </x:c>
    </x:row>
    <x:row r="18">
      <x:c r="A18" s="14" t="n">
        <x:v>17</x:v>
      </x:c>
      <x:c r="B18" s="2" t="str">
        <x:v>Cerrada</x:v>
      </x:c>
      <x:c r="C18" s="25" t="str">
        <x:v>DATABASE · Repositories Users y Organizations</x:v>
      </x:c>
      <x:c r="D18" s="25" t="str">
        <x:v>B05</x:v>
      </x:c>
      <x:c r="E18" s="25" t="str">
        <x:v>Entregada.</x:v>
      </x:c>
      <x:c r="F18" s="26" t="str">
        <x:v>https://github.com/Anagamedina/ft_transcendence/issues/17</x:v>
      </x:c>
    </x:row>
    <x:row r="19">
      <x:c r="A19" s="14" t="n">
        <x:v>18</x:v>
      </x:c>
      <x:c r="B19" s="2" t="str">
        <x:v>Cerrada</x:v>
      </x:c>
      <x:c r="C19" s="25" t="str">
        <x:v>DATABASE · Persistencia y repository Alerts</x:v>
      </x:c>
      <x:c r="D19" s="25" t="str">
        <x:v>B13</x:v>
      </x:c>
      <x:c r="E19" s="25" t="str">
        <x:v>Entregada.</x:v>
      </x:c>
      <x:c r="F19" s="26" t="str">
        <x:v>https://github.com/Anagamedina/ft_transcendence/issues/18</x:v>
      </x:c>
    </x:row>
    <x:row r="20">
      <x:c r="A20" s="14" t="n">
        <x:v>19</x:v>
      </x:c>
      <x:c r="B20" s="2" t="str">
        <x:v>Cerrada</x:v>
      </x:c>
      <x:c r="C20" s="25" t="str">
        <x:v>DEVOPS · Docker Compose base</x:v>
      </x:c>
      <x:c r="D20" s="25" t="str">
        <x:v>O01</x:v>
      </x:c>
      <x:c r="E20" s="25" t="str">
        <x:v>Entregada; falta ejecución de stack.</x:v>
      </x:c>
      <x:c r="F20" s="26" t="str">
        <x:v>https://github.com/Anagamedina/ft_transcendence/issues/19</x:v>
      </x:c>
    </x:row>
    <x:row r="21">
      <x:c r="A21" s="14" t="n">
        <x:v>20</x:v>
      </x:c>
      <x:c r="B21" s="2" t="str">
        <x:v>Cerrada</x:v>
      </x:c>
      <x:c r="C21" s="25" t="str">
        <x:v>DEVOPS · Nginx Gateway y HTTPS</x:v>
      </x:c>
      <x:c r="D21" s="25" t="str">
        <x:v>O02</x:v>
      </x:c>
      <x:c r="E21" s="25" t="str">
        <x:v>Entregada.</x:v>
      </x:c>
      <x:c r="F21" s="26" t="str">
        <x:v>https://github.com/Anagamedina/ft_transcendence/issues/20</x:v>
      </x:c>
    </x:row>
    <x:row r="22">
      <x:c r="A22" s="14" t="n">
        <x:v>21</x:v>
      </x:c>
      <x:c r="B22" s="2" t="str">
        <x:v>Abierta</x:v>
      </x:c>
      <x:c r="C22" s="25" t="str">
        <x:v>DEVOPS · Health checks y smoke test</x:v>
      </x:c>
      <x:c r="D22" s="25" t="str">
        <x:v>Q06/O06</x:v>
      </x:c>
      <x:c r="E22" s="25" t="str">
        <x:v>Bloqueada para el flujo completo por el simulador.</x:v>
      </x:c>
      <x:c r="F22" s="26" t="str">
        <x:v>https://github.com/Anagamedina/ft_transcendence/issues/21</x:v>
      </x:c>
    </x:row>
    <x:row r="23">
      <x:c r="A23" s="14" t="n">
        <x:v>22</x:v>
      </x:c>
      <x:c r="B23" s="2" t="str">
        <x:v>Cerrada</x:v>
      </x:c>
      <x:c r="C23" s="25" t="str">
        <x:v>BACKEND · FastAPI y arquitectura modular</x:v>
      </x:c>
      <x:c r="D23" s="25" t="str">
        <x:v>B01</x:v>
      </x:c>
      <x:c r="E23" s="25" t="str">
        <x:v>Entregada.</x:v>
      </x:c>
      <x:c r="F23" s="26" t="str">
        <x:v>https://github.com/Anagamedina/ft_transcendence/issues/22</x:v>
      </x:c>
    </x:row>
    <x:row r="24">
      <x:c r="A24" s="14" t="n">
        <x:v>23</x:v>
      </x:c>
      <x:c r="B24" s="2" t="str">
        <x:v>Cerrada</x:v>
      </x:c>
      <x:c r="C24" s="25" t="str">
        <x:v>BACKEND · Schemas y OpenAPI</x:v>
      </x:c>
      <x:c r="D24" s="25" t="str">
        <x:v>B02</x:v>
      </x:c>
      <x:c r="E24" s="25" t="str">
        <x:v>Entregada.</x:v>
      </x:c>
      <x:c r="F24" s="26" t="str">
        <x:v>https://github.com/Anagamedina/ft_transcendence/issues/23</x:v>
      </x:c>
    </x:row>
    <x:row r="25">
      <x:c r="A25" s="14" t="n">
        <x:v>24</x:v>
      </x:c>
      <x:c r="B25" s="2" t="str">
        <x:v>Abierta · PR #72</x:v>
      </x:c>
      <x:c r="C25" s="25" t="str">
        <x:v>BACKEND · POST /api/readings</x:v>
      </x:c>
      <x:c r="D25" s="25" t="str">
        <x:v>B07</x:v>
      </x:c>
      <x:c r="E25" s="25" t="str">
        <x:v>La PR está mergeada, pero la issue sigue abierta en GitHub.</x:v>
      </x:c>
      <x:c r="F25" s="26" t="str">
        <x:v>https://github.com/Anagamedina/ft_transcendence/issues/24</x:v>
      </x:c>
    </x:row>
    <x:row r="26">
      <x:c r="A26" s="14" t="n">
        <x:v>25</x:v>
      </x:c>
      <x:c r="B26" s="2" t="str">
        <x:v>Abierta · PR #77</x:v>
      </x:c>
      <x:c r="C26" s="25" t="str">
        <x:v>BACKEND · GET sensors e históricos</x:v>
      </x:c>
      <x:c r="D26" s="25" t="str">
        <x:v>B08/B12</x:v>
      </x:c>
      <x:c r="E26" s="25" t="str">
        <x:v>Histórico entregado; GET sensors/list/detail sigue pendiente.</x:v>
      </x:c>
      <x:c r="F26" s="26" t="str">
        <x:v>https://github.com/Anagamedina/ft_transcendence/issues/25</x:v>
      </x:c>
    </x:row>
    <x:row r="27">
      <x:c r="A27" s="14" t="n">
        <x:v>26</x:v>
      </x:c>
      <x:c r="B27" s="2" t="str">
        <x:v>Cerrada · PR #75</x:v>
      </x:c>
      <x:c r="C27" s="25" t="str">
        <x:v>BACKEND · Auth y /api/me</x:v>
      </x:c>
      <x:c r="D27" s="25" t="str">
        <x:v>B09/B10</x:v>
      </x:c>
      <x:c r="E27" s="25" t="str">
        <x:v>GitHub cerrada, pero hay stubs verificables en develop.</x:v>
      </x:c>
      <x:c r="F27" s="26" t="str">
        <x:v>https://github.com/Anagamedina/ft_transcendence/issues/26</x:v>
      </x:c>
    </x:row>
    <x:row r="28">
      <x:c r="A28" s="14" t="n">
        <x:v>27</x:v>
      </x:c>
      <x:c r="B28" s="2" t="str">
        <x:v>Abierta</x:v>
      </x:c>
      <x:c r="C28" s="25" t="str">
        <x:v>BACKEND · Permisos y aislamiento</x:v>
      </x:c>
      <x:c r="D28" s="25" t="str">
        <x:v>B11</x:v>
      </x:c>
      <x:c r="E28" s="25" t="str">
        <x:v>require_role y routers protegidos siguen pendientes.</x:v>
      </x:c>
      <x:c r="F28" s="26" t="str">
        <x:v>https://github.com/Anagamedina/ft_transcendence/issues/27</x:v>
      </x:c>
    </x:row>
    <x:row r="29">
      <x:c r="A29" s="14" t="n">
        <x:v>28</x:v>
      </x:c>
      <x:c r="B29" s="2" t="str">
        <x:v>Abierta · PR #78</x:v>
      </x:c>
      <x:c r="C29" s="25" t="str">
        <x:v>BACKEND · Alertas</x:v>
      </x:c>
      <x:c r="D29" s="25" t="str">
        <x:v>B14</x:v>
      </x:c>
      <x:c r="E29" s="25" t="str">
        <x:v>Endpoints entregados; reglas de generación pendientes.</x:v>
      </x:c>
      <x:c r="F29" s="26" t="str">
        <x:v>https://github.com/Anagamedina/ft_transcendence/issues/28</x:v>
      </x:c>
    </x:row>
    <x:row r="30">
      <x:c r="A30" s="14" t="n">
        <x:v>29</x:v>
      </x:c>
      <x:c r="B30" s="2" t="str">
        <x:v>Abierta</x:v>
      </x:c>
      <x:c r="C30" s="25" t="str">
        <x:v>BACKEND · Sites y Sensors</x:v>
      </x:c>
      <x:c r="D30" s="25" t="str">
        <x:v>B12</x:v>
      </x:c>
      <x:c r="E30" s="25" t="str">
        <x:v>Routers/services sin implementación.</x:v>
      </x:c>
      <x:c r="F30" s="26" t="str">
        <x:v>https://github.com/Anagamedina/ft_transcendence/issues/29</x:v>
      </x:c>
    </x:row>
    <x:row r="31">
      <x:c r="A31" s="14" t="n">
        <x:v>30</x:v>
      </x:c>
      <x:c r="B31" s="2" t="str">
        <x:v>Abierta</x:v>
      </x:c>
      <x:c r="C31" s="25" t="str">
        <x:v>BACKEND · Tests Pytest críticos</x:v>
      </x:c>
      <x:c r="D31" s="25" t="str">
        <x:v>Q01/Q02</x:v>
      </x:c>
      <x:c r="E31" s="25" t="str">
        <x:v>Crece la suite, pero faltan rutas y ejecución reproducible.</x:v>
      </x:c>
      <x:c r="F31" s="26" t="str">
        <x:v>https://github.com/Anagamedina/ft_transcendence/issues/30</x:v>
      </x:c>
    </x:row>
    <x:row r="32">
      <x:c r="A32" s="14" t="n">
        <x:v>31</x:v>
      </x:c>
      <x:c r="B32" s="2" t="str">
        <x:v>Cerrada</x:v>
      </x:c>
      <x:c r="C32" s="25" t="str">
        <x:v>Frontend · Pinia y stores</x:v>
      </x:c>
      <x:c r="D32" s="25" t="str">
        <x:v>F06</x:v>
      </x:c>
      <x:c r="E32" s="25" t="str">
        <x:v>Entregada; auth/alerts siguen incompletos.</x:v>
      </x:c>
      <x:c r="F32" s="26" t="str">
        <x:v>https://github.com/Anagamedina/ft_transcendence/issues/31</x:v>
      </x:c>
    </x:row>
    <x:row r="33">
      <x:c r="A33" s="14" t="n">
        <x:v>32</x:v>
      </x:c>
      <x:c r="B33" s="2" t="str">
        <x:v>Cerrada</x:v>
      </x:c>
      <x:c r="C33" s="25" t="str">
        <x:v>Frontend · Axios y services</x:v>
      </x:c>
      <x:c r="D33" s="25" t="str">
        <x:v>F07</x:v>
      </x:c>
      <x:c r="E33" s="25" t="str">
        <x:v>Entregada.</x:v>
      </x:c>
      <x:c r="F33" s="26" t="str">
        <x:v>https://github.com/Anagamedina/ft_transcendence/issues/32</x:v>
      </x:c>
    </x:row>
    <x:row r="34">
      <x:c r="A34" s="14" t="n">
        <x:v>33</x:v>
      </x:c>
      <x:c r="B34" s="2" t="str">
        <x:v>Cerrada</x:v>
      </x:c>
      <x:c r="C34" s="25" t="str">
        <x:v>Frontend · MockAdapter</x:v>
      </x:c>
      <x:c r="D34" s="25" t="str">
        <x:v>F07</x:v>
      </x:c>
      <x:c r="E34" s="25" t="str">
        <x:v>Entregada.</x:v>
      </x:c>
      <x:c r="F34" s="26" t="str">
        <x:v>https://github.com/Anagamedina/ft_transcendence/issues/33</x:v>
      </x:c>
    </x:row>
    <x:row r="35">
      <x:c r="A35" s="14" t="n">
        <x:v>34</x:v>
      </x:c>
      <x:c r="B35" s="2" t="str">
        <x:v>Cerrada</x:v>
      </x:c>
      <x:c r="C35" s="25" t="str">
        <x:v>Frontend · Sensors y Readings con stores</x:v>
      </x:c>
      <x:c r="D35" s="25" t="str">
        <x:v>F06/F08</x:v>
      </x:c>
      <x:c r="E35" s="25" t="str">
        <x:v>Entregada en mock; queda conexión real.</x:v>
      </x:c>
      <x:c r="F35" s="26" t="str">
        <x:v>https://github.com/Anagamedina/ft_transcendence/issues/34</x:v>
      </x:c>
    </x:row>
    <x:row r="36">
      <x:c r="A36" s="14" t="n">
        <x:v>35</x:v>
      </x:c>
      <x:c r="B36" s="2" t="str">
        <x:v>Abierta</x:v>
      </x:c>
      <x:c r="C36" s="25" t="str">
        <x:v>Frontend · Login, Registro y Logout</x:v>
      </x:c>
      <x:c r="D36" s="25" t="str">
        <x:v>F09</x:v>
      </x:c>
      <x:c r="E36" s="25" t="str">
        <x:v>Bloqueada por auth backend verificada incompleta.</x:v>
      </x:c>
      <x:c r="F36" s="26" t="str">
        <x:v>https://github.com/Anagamedina/ft_transcendence/issues/35</x:v>
      </x:c>
    </x:row>
    <x:row r="37">
      <x:c r="A37" s="14" t="n">
        <x:v>36</x:v>
      </x:c>
      <x:c r="B37" s="2" t="str">
        <x:v>Abierta</x:v>
      </x:c>
      <x:c r="C37" s="25" t="str">
        <x:v>Frontend · Guards y navegación por rol</x:v>
      </x:c>
      <x:c r="D37" s="25" t="str">
        <x:v>F05</x:v>
      </x:c>
      <x:c r="E37" s="25" t="str">
        <x:v>Bloqueada por Auth Store y #35.</x:v>
      </x:c>
      <x:c r="F37" s="26" t="str">
        <x:v>https://github.com/Anagamedina/ft_transcendence/issues/36</x:v>
      </x:c>
    </x:row>
    <x:row r="38">
      <x:c r="A38" s="14" t="n">
        <x:v>37</x:v>
      </x:c>
      <x:c r="B38" s="2" t="str">
        <x:v>Abierta</x:v>
      </x:c>
      <x:c r="C38" s="25" t="str">
        <x:v>Frontend · Loading/Error/EmptyState</x:v>
      </x:c>
      <x:c r="D38" s="25" t="str">
        <x:v>F02</x:v>
      </x:c>
      <x:c r="E38" s="25" t="str">
        <x:v>Lista para integración general.</x:v>
      </x:c>
      <x:c r="F38" s="26" t="str">
        <x:v>https://github.com/Anagamedina/ft_transcendence/issues/37</x:v>
      </x:c>
    </x:row>
    <x:row r="39">
      <x:c r="A39" s="14" t="n">
        <x:v>38</x:v>
      </x:c>
      <x:c r="B39" s="2" t="str">
        <x:v>Abierta</x:v>
      </x:c>
      <x:c r="C39" s="25" t="str">
        <x:v>Frontend · Sensores, alertas, tablas y filtros Admin</x:v>
      </x:c>
      <x:c r="D39" s="25" t="str">
        <x:v>F10/F11</x:v>
      </x:c>
      <x:c r="E39" s="25" t="str">
        <x:v>Bloqueada por #27, #28 y #29.</x:v>
      </x:c>
      <x:c r="F39" s="26" t="str">
        <x:v>https://github.com/Anagamedina/ft_transcendence/issues/38</x:v>
      </x:c>
    </x:row>
    <x:row r="40">
      <x:c r="A40" s="14" t="n">
        <x:v>39</x:v>
      </x:c>
      <x:c r="B40" s="2" t="str">
        <x:v>Abierta</x:v>
      </x:c>
      <x:c r="C40" s="25" t="str">
        <x:v>Frontend · Dashboard Cliente</x:v>
      </x:c>
      <x:c r="D40" s="25" t="str">
        <x:v>F11</x:v>
      </x:c>
      <x:c r="E40" s="25" t="str">
        <x:v>Bloqueada por auth, permisos, sensores y alertas.</x:v>
      </x:c>
      <x:c r="F40" s="26" t="str">
        <x:v>https://github.com/Anagamedina/ft_transcendence/issues/39</x:v>
      </x:c>
    </x:row>
    <x:row r="41">
      <x:c r="A41" s="14" t="n">
        <x:v>40</x:v>
      </x:c>
      <x:c r="B41" s="2" t="str">
        <x:v>Abierta</x:v>
      </x:c>
      <x:c r="C41" s="25" t="str">
        <x:v>Frontend · Históricos básicos</x:v>
      </x:c>
      <x:c r="D41" s="25" t="str">
        <x:v>F08</x:v>
      </x:c>
      <x:c r="E41" s="25" t="str">
        <x:v>Endpoint listo; falta integración de vista.</x:v>
      </x:c>
      <x:c r="F41" s="26" t="str">
        <x:v>https://github.com/Anagamedina/ft_transcendence/issues/40</x:v>
      </x:c>
    </x:row>
    <x:row r="42">
      <x:c r="A42" s="14" t="n">
        <x:v>41</x:v>
      </x:c>
      <x:c r="B42" s="2" t="str">
        <x:v>Abierta</x:v>
      </x:c>
      <x:c r="C42" s="25" t="str">
        <x:v>Frontend · E2E auth y navegación</x:v>
      </x:c>
      <x:c r="D42" s="25" t="str">
        <x:v>Q05</x:v>
      </x:c>
      <x:c r="E42" s="25" t="str">
        <x:v>Bloqueada por #35 y #36.</x:v>
      </x:c>
      <x:c r="F42" s="26" t="str">
        <x:v>https://github.com/Anagamedina/ft_transcendence/issues/41</x:v>
      </x:c>
    </x:row>
    <x:row r="43">
      <x:c r="A43" s="17" t="n">
        <x:v>69</x:v>
      </x:c>
      <x:c r="B43" s="20" t="str">
        <x:v>Abierta</x:v>
      </x:c>
      <x:c r="C43" s="28" t="str">
        <x:v>DATABASE · Correcciones acumuladas</x:v>
      </x:c>
      <x:c r="D43" s="28" t="str">
        <x:v>B04/O06/M01</x:v>
      </x:c>
      <x:c r="E43" s="28" t="str">
        <x:v>Incluye wiring de readings, simulator Dockerfile, README y .dockerignore.</x:v>
      </x:c>
      <x:c r="F43" s="29" t="str">
        <x:v>https://github.com/Anagamedina/ft_transcendence/issues/69</x:v>
      </x:c>
    </x:row>
  </x:sheetData>
  <x:conditionalFormatting sqref="B2:B43">
    <x:cfRule type="containsText" dxfId="3" priority="1" operator="containsText" text="Cerrada"/>
    <x:cfRule type="containsText" dxfId="4" priority="2" operator="containsText" text="Abierta"/>
  </x:conditionalFormatting>
  <x:pageMargins left="0.7" right="0.7" top="0.75" bottom="0.75" header="0.3" footer="0.3"/>
  <x:tableParts count="1">
    <x:tablePart xmlns:r="http://schemas.openxmlformats.org/officeDocument/2006/relationships" r:id="R27c338b3960e4b7f"/>
  </x:tableParts>
</x:worksheet>
</file>

<file path=xl/worksheets/sheet6.xml><?xml version="1.0" encoding="utf-8"?>
<x:worksheet xmlns:x="http://schemas.openxmlformats.org/spreadsheetml/2006/main">
  <x:sheetPr>
    <x:tabColor rgb="FF9A341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62" hidden="0" customWidth="1"/>
  </x:cols>
  <x:sheetData>
    <x:row r="1">
      <x:c r="A1" s="37" t="str">
        <x:v>Tarea afectada</x:v>
      </x:c>
      <x:c r="B1" s="38" t="str">
        <x:v>Depende de</x:v>
      </x:c>
      <x:c r="C1" s="38" t="str">
        <x:v>Estado del bloqueo</x:v>
      </x:c>
      <x:c r="D1" s="39" t="str">
        <x:v>Por qué está bloqueada</x:v>
      </x:c>
    </x:row>
    <x:row r="2">
      <x:c r="A2" s="40" t="str">
        <x:v>F09 / GH #35</x:v>
      </x:c>
      <x:c r="B2" s="25" t="str">
        <x:v>Auth backend B10 / GH #26</x:v>
      </x:c>
      <x:c r="C2" s="25" t="str">
        <x:v>Bloqueada</x:v>
      </x:c>
      <x:c r="D2" s="26" t="str">
        <x:v>Las vistas y el store frontend no pueden cerrar el flujo hasta que register/login/me funcionen realmente; GH la cerró, pero develop conserva 501.</x:v>
      </x:c>
    </x:row>
    <x:row r="3">
      <x:c r="A3" s="40" t="str">
        <x:v>F05 / GH #36</x:v>
      </x:c>
      <x:c r="B3" s="25" t="str">
        <x:v>F09 / Auth Store</x:v>
      </x:c>
      <x:c r="C3" s="25" t="str">
        <x:v>Bloqueada</x:v>
      </x:c>
      <x:c r="D3" s="26" t="str">
        <x:v>Los guards dependen de usuario/rol cargados desde la sesión.</x:v>
      </x:c>
    </x:row>
    <x:row r="4">
      <x:c r="A4" s="40" t="str">
        <x:v>F11 / GH #7, #38, #39</x:v>
      </x:c>
      <x:c r="B4" s="25" t="str">
        <x:v>B11 + B12 + B14</x:v>
      </x:c>
      <x:c r="C4" s="25" t="str">
        <x:v>Bloqueada</x:v>
      </x:c>
      <x:c r="D4" s="26" t="str">
        <x:v>Los dashboards necesitan permisos, sites/sensors y alertas reales.</x:v>
      </x:c>
    </x:row>
    <x:row r="5">
      <x:c r="A5" s="40" t="str">
        <x:v>F12 / GH #8, #9, #40</x:v>
      </x:c>
      <x:c r="B5" s="25" t="str">
        <x:v>B12 + F11</x:v>
      </x:c>
      <x:c r="C5" s="25" t="str">
        <x:v>Bloqueada</x:v>
      </x:c>
      <x:c r="D5" s="26" t="str">
        <x:v>El mapa necesita sites con coordenadas y una vista Admin integrada; el histórico ya tiene endpoint.</x:v>
      </x:c>
    </x:row>
    <x:row r="6">
      <x:c r="A6" s="40" t="str">
        <x:v>B12 / GH #29</x:v>
      </x:c>
      <x:c r="B6" s="25" t="str">
        <x:v>B11 / GH #27</x:v>
      </x:c>
      <x:c r="C6" s="25" t="str">
        <x:v>Parcialmente bloqueada</x:v>
      </x:c>
      <x:c r="D6" s="26" t="str">
        <x:v>Los endpoints deben aplicar el aislamiento por organización y roles antes de considerarse completos.</x:v>
      </x:c>
    </x:row>
    <x:row r="7">
      <x:c r="A7" s="40" t="str">
        <x:v>B14 / GH #28</x:v>
      </x:c>
      <x:c r="B7" s="25" t="str">
        <x:v>B07 + thresholds/last_seen</x:v>
      </x:c>
      <x:c r="C7" s="25" t="str">
        <x:v>Parcialmente bloqueada</x:v>
      </x:c>
      <x:c r="D7" s="26" t="str">
        <x:v>Los endpoints existen, pero la generación debe entrar en el flujo de readings y resolver offline.</x:v>
      </x:c>
    </x:row>
    <x:row r="8">
      <x:c r="A8" s="40" t="str">
        <x:v>Q02 / GH #30</x:v>
      </x:c>
      <x:c r="B8" s="25" t="str">
        <x:v>B10 + B11 + B12 + B14</x:v>
      </x:c>
      <x:c r="C8" s="25" t="str">
        <x:v>Bloqueada</x:v>
      </x:c>
      <x:c r="D8" s="26" t="str">
        <x:v>Faltan rutas y reglas definitivas para cerrar la matriz HTTP crítica.</x:v>
      </x:c>
    </x:row>
    <x:row r="9">
      <x:c r="A9" s="40" t="str">
        <x:v>Q05 / GH #41</x:v>
      </x:c>
      <x:c r="B9" s="25" t="str">
        <x:v>F09 + F05 + backend operativo</x:v>
      </x:c>
      <x:c r="C9" s="25" t="str">
        <x:v>Bloqueada</x:v>
      </x:c>
      <x:c r="D9" s="26" t="str">
        <x:v>No se puede automatizar login, navegación protegida y logout mientras auth/guards sean stubs.</x:v>
      </x:c>
    </x:row>
    <x:row r="10">
      <x:c r="A10" s="41" t="str">
        <x:v>Q06 / GH #21</x:v>
      </x:c>
      <x:c r="B10" s="28" t="str">
        <x:v>O06 / GH #16</x:v>
      </x:c>
      <x:c r="C10" s="28" t="str">
        <x:v>Bloqueada</x:v>
      </x:c>
      <x:c r="D10" s="29" t="str">
        <x:v>El smoke completo simulator → API no puede pasar mientras el simulador sea un stub.</x:v>
      </x:c>
    </x:row>
  </x:sheetData>
  <x:conditionalFormatting sqref="C2:C10">
    <x:cfRule type="containsText" dxfId="5" priority="1" operator="containsText" text="Bloqueada"/>
    <x:cfRule type="containsText" dxfId="6" priority="2" operator="containsText" text="Parcialmente"/>
  </x:conditionalFormatting>
  <x:pageMargins left="0.7" right="0.7" top="0.75" bottom="0.75" header="0.3" footer="0.3"/>
  <x:tableParts count="1">
    <x:tablePart xmlns:r="http://schemas.openxmlformats.org/officeDocument/2006/relationships" r:id="R7ade4fefa802449d"/>
  </x:tableParts>
</x:worksheet>
</file>

<file path=xl/worksheets/sheet7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22" hidden="0" customWidth="1"/>
    <x:col min="5" max="5" width="58" hidden="0" customWidth="1"/>
    <x:col min="6" max="6" width="18" hidden="0" customWidth="1"/>
    <x:col min="7" max="7" width="12" hidden="0" customWidth="1"/>
  </x:cols>
  <x:sheetData>
    <x:row r="1">
      <x:c r="A1" s="44" t="str">
        <x:v>ID</x:v>
      </x:c>
      <x:c r="B1" s="45" t="str">
        <x:v>Área</x:v>
      </x:c>
      <x:c r="C1" s="45" t="str">
        <x:v>Tarea faltante</x:v>
      </x:c>
      <x:c r="D1" s="45" t="str">
        <x:v>Tipo</x:v>
      </x:c>
      <x:c r="E1" s="45" t="str">
        <x:v>Criterio de aceptación</x:v>
      </x:c>
      <x:c r="F1" s="45" t="str">
        <x:v>GitHub relacionado</x:v>
      </x:c>
      <x:c r="G1" s="46" t="str">
        <x:v>Prioridad</x:v>
      </x:c>
    </x:row>
    <x:row r="2">
      <x:c r="A2" s="14" t="str">
        <x:v>MND-01</x:v>
      </x:c>
      <x:c r="B2" s="2" t="str">
        <x:v>Backend</x:v>
      </x:c>
      <x:c r="C2" s="25" t="str">
        <x:v>Cerrar autenticación real y /api/me</x:v>
      </x:c>
      <x:c r="D2" s="25" t="str">
        <x:v>Obligatoria</x:v>
      </x:c>
      <x:c r="E2" s="25" t="str">
        <x:v>Completar services, ruta /api/me, cookie y pruebas HTTP. La issue #26 cerrada en GitHub no coincide con el código verificado.</x:v>
      </x:c>
      <x:c r="F2" s="25" t="str">
        <x:v>#26, #30</x:v>
      </x:c>
      <x:c r="G2" s="15" t="str">
        <x:v>P0</x:v>
      </x:c>
    </x:row>
    <x:row r="3">
      <x:c r="A3" s="14" t="str">
        <x:v>MND-02</x:v>
      </x:c>
      <x:c r="B3" s="2" t="str">
        <x:v>Backend</x:v>
      </x:c>
      <x:c r="C3" s="25" t="str">
        <x:v>Aplicar permisos y aislamiento multi-tenant</x:v>
      </x:c>
      <x:c r="D3" s="25" t="str">
        <x:v>Obligatoria</x:v>
      </x:c>
      <x:c r="E3" s="25" t="str">
        <x:v>Implementar require_role, 401/403 y filtros por organización en todos los routers privados.</x:v>
      </x:c>
      <x:c r="F3" s="25" t="str">
        <x:v>#27</x:v>
      </x:c>
      <x:c r="G3" s="15" t="str">
        <x:v>P0</x:v>
      </x:c>
    </x:row>
    <x:row r="4">
      <x:c r="A4" s="14" t="str">
        <x:v>MND-03</x:v>
      </x:c>
      <x:c r="B4" s="2" t="str">
        <x:v>Frontend</x:v>
      </x:c>
      <x:c r="C4" s="25" t="str">
        <x:v>Login, registro, logout y guards</x:v>
      </x:c>
      <x:c r="D4" s="25" t="str">
        <x:v>Obligatoria</x:v>
      </x:c>
      <x:c r="E4" s="25" t="str">
        <x:v>Registrar rutas y conectar Auth Store con la sesión y los roles reales.</x:v>
      </x:c>
      <x:c r="F4" s="25" t="str">
        <x:v>#35, #36</x:v>
      </x:c>
      <x:c r="G4" s="15" t="str">
        <x:v>P0</x:v>
      </x:c>
    </x:row>
    <x:row r="5">
      <x:c r="A5" s="14" t="str">
        <x:v>MND-04</x:v>
      </x:c>
      <x:c r="B5" s="2" t="str">
        <x:v>Frontend</x:v>
      </x:c>
      <x:c r="C5" s="25" t="str">
        <x:v>Responsive, accesibilidad y consola limpia</x:v>
      </x:c>
      <x:c r="D5" s="25" t="str">
        <x:v>Obligatoria</x:v>
      </x:c>
      <x:c r="E5" s="25" t="str">
        <x:v>Revisar desktop/tablet/móvil, teclado, contraste, errores y warnings tras integrar las vistas.</x:v>
      </x:c>
      <x:c r="F5" s="25" t="str">
        <x:v>#10</x:v>
      </x:c>
      <x:c r="G5" s="15" t="str">
        <x:v>P1</x:v>
      </x:c>
    </x:row>
    <x:row r="6">
      <x:c r="A6" s="14" t="str">
        <x:v>MND-05</x:v>
      </x:c>
      <x:c r="B6" s="2" t="str">
        <x:v>QA/Tests</x:v>
      </x:c>
      <x:c r="C6" s="25" t="str">
        <x:v>E2E mínimo de auth y navegación</x:v>
      </x:c>
      <x:c r="D6" s="25" t="str">
        <x:v>Obligatoria</x:v>
      </x:c>
      <x:c r="E6" s="25" t="str">
        <x:v>Probar login, redirección por rol, acceso denegado y logout de forma repetible.</x:v>
      </x:c>
      <x:c r="F6" s="25" t="str">
        <x:v>#41</x:v>
      </x:c>
      <x:c r="G6" s="15" t="str">
        <x:v>P1</x:v>
      </x:c>
    </x:row>
    <x:row r="7">
      <x:c r="A7" s="14" t="str">
        <x:v>MND-06</x:v>
      </x:c>
      <x:c r="B7" s="2" t="str">
        <x:v>DevOps</x:v>
      </x:c>
      <x:c r="C7" s="25" t="str">
        <x:v>Smoke test reproducible del vertical slice</x:v>
      </x:c>
      <x:c r="D7" s="25" t="str">
        <x:v>Obligatoria</x:v>
      </x:c>
      <x:c r="E7" s="25" t="str">
        <x:v>Levantar Compose, comprobar health, enviar una lectura, comprobar persistencia y evidenciar el resultado.</x:v>
      </x:c>
      <x:c r="F7" s="25" t="str">
        <x:v>#21, #16</x:v>
      </x:c>
      <x:c r="G7" s="15" t="str">
        <x:v>P1</x:v>
      </x:c>
    </x:row>
    <x:row r="8">
      <x:c r="A8" s="14" t="str">
        <x:v>MND-07</x:v>
      </x:c>
      <x:c r="B8" s="2" t="str">
        <x:v>Backend</x:v>
      </x:c>
      <x:c r="C8" s="25" t="str">
        <x:v>Completar sites/sensors y alertas básicas</x:v>
      </x:c>
      <x:c r="D8" s="25" t="str">
        <x:v>Obligatoria para demo funcional</x:v>
      </x:c>
      <x:c r="E8" s="25" t="str">
        <x:v>Cerrar GET sites/sensors, reglas LOW/HIGH/OFFLINE y ciclo list/ack/resolve.</x:v>
      </x:c>
      <x:c r="F8" s="25" t="str">
        <x:v>#25, #28, #29</x:v>
      </x:c>
      <x:c r="G8" s="15" t="str">
        <x:v>P0</x:v>
      </x:c>
    </x:row>
    <x:row r="9">
      <x:c r="A9" s="17" t="str">
        <x:v>MND-08</x:v>
      </x:c>
      <x:c r="B9" s="20" t="str">
        <x:v>Equipo</x:v>
      </x:c>
      <x:c r="C9" s="28" t="str">
        <x:v>README y arquitectura final consistentes</x:v>
      </x:c>
      <x:c r="D9" s="28" t="str">
        <x:v>Obligatoria para evaluación</x:v>
      </x:c>
      <x:c r="E9" s="28" t="str">
        <x:v>Documentar módulos implementados, endpoints, comandos, credenciales demo, límites y pruebas ejecutables.</x:v>
      </x:c>
      <x:c r="F9" s="28" t="str">
        <x:v>#69</x:v>
      </x:c>
      <x:c r="G9" s="18" t="str">
        <x:v>P1</x:v>
      </x:c>
    </x:row>
  </x:sheetData>
  <x:conditionalFormatting sqref="G2:G9">
    <x:cfRule type="containsText" dxfId="7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e6568aae42244373"/>
  </x:tableParts>
</x:worksheet>
</file>